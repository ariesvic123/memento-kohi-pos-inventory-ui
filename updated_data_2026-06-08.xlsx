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ock Details" sheetId="1" r:id="rId1"/>
    <sheet name="Updated Inventory" sheetId="2" r:id="rId2"/>
    <sheet name="Ingredients Pricing" sheetId="3" r:id="rId3"/>
    <sheet name="Drinks Costing" sheetId="4" r:id="rId4"/>
    <sheet name="Food Costing" sheetId="5" r:id="rId5"/>
    <sheet name="Drinks Selling Price" sheetId="6" r:id="rId6"/>
    <sheet name="Cookie Selling Price" sheetId="7" r:id="rId7"/>
    <sheet name="POS_Transaction_History" sheetId="8" r:id="rId8"/>
  </sheets>
  <definedNames>
    <definedName name="_xlnm._FilterDatabase" localSheetId="0" hidden="1">'Restock Details'!$A$1:$Z$88</definedName>
    <definedName name="_xlnm._FilterDatabase" localSheetId="2" hidden="1">'Ingredients Pricing'!$A$1:$U$94</definedName>
  </definedNames>
</workbook>
</file>

<file path=xl/comments3.xml><?xml version="1.0" encoding="utf-8"?>
<comments xmlns="http://schemas.openxmlformats.org/spreadsheetml/2006/main">
  <authors>
    <author>sheetjsghost</author>
  </authors>
  <commentList>
    <comment ref="D2" authorId="0">
      <text>
        <t>1Liter</t>
      </text>
    </comment>
    <comment ref="D3" authorId="0">
      <text>
        <t>1Liter</t>
      </text>
    </comment>
    <comment ref="A4" authorId="0">
      <text>
        <t>70% of the espresso blend</t>
      </text>
    </comment>
    <comment ref="D4" authorId="0">
      <text>
        <t xml:space="preserve">1 KG
</t>
      </text>
    </comment>
    <comment ref="D5" authorId="0">
      <text>
        <t>10 KG</t>
      </text>
    </comment>
    <comment ref="A13" authorId="0">
      <text>
        <t>not needed anymore</t>
      </text>
    </comment>
    <comment ref="D17" authorId="0">
      <text>
        <t>grams</t>
      </text>
    </comment>
    <comment ref="D18" authorId="0">
      <text>
        <t>grams</t>
      </text>
    </comment>
    <comment ref="D24" authorId="0">
      <text>
        <t>x pieces</t>
      </text>
    </comment>
    <comment ref="D26" authorId="0">
      <text>
        <t>3KG</t>
      </text>
    </comment>
    <comment ref="D27" authorId="0">
      <text>
        <t>3KG</t>
      </text>
    </comment>
    <comment ref="D28" authorId="0">
      <text>
        <t>3KG</t>
      </text>
    </comment>
    <comment ref="D30" authorId="0">
      <text>
        <t>1.89Liters</t>
      </text>
    </comment>
    <comment ref="A33" authorId="0">
      <text>
        <t>30% of the espresso blend</t>
      </text>
    </comment>
    <comment ref="D33" authorId="0">
      <text>
        <t xml:space="preserve">grams
</t>
      </text>
    </comment>
    <comment ref="D88" authorId="0">
      <text>
        <t>1Liter</t>
      </text>
    </comment>
    <comment ref="D89" authorId="0">
      <text>
        <t>1Liter</t>
      </text>
    </comment>
    <comment ref="D90" authorId="0">
      <text>
        <t>1Liter</t>
      </text>
    </comment>
    <comment ref="D91" authorId="0">
      <text>
        <t>1Liter</t>
      </text>
    </comment>
    <comment ref="D92" authorId="0">
      <text>
        <t>1Liter</t>
      </text>
    </comment>
  </commentList>
</comments>
</file>

<file path=xl/comments4.xml><?xml version="1.0" encoding="utf-8"?>
<comments xmlns="http://schemas.openxmlformats.org/spreadsheetml/2006/main">
  <authors>
    <author>sheetjsghost</author>
  </authors>
  <commentList>
    <comment ref="A14" authorId="0">
      <text>
        <t>signature drink</t>
      </text>
    </comment>
  </commentList>
</comments>
</file>

<file path=xl/comments5.xml><?xml version="1.0" encoding="utf-8"?>
<comments xmlns="http://schemas.openxmlformats.org/spreadsheetml/2006/main">
  <authors>
    <author>sheetjsghost</author>
  </authors>
  <commentList>
    <comment ref="H1" authorId="0">
      <text>
        <t>(ingredients total grams / ingredients total cost) * 60g</t>
      </text>
    </comment>
    <comment ref="I1" authorId="0">
      <text>
        <t>(ingredients total grams / ingredients total cost) * 70g</t>
      </text>
    </comment>
  </commentList>
</comments>
</file>

<file path=xl/comments6.xml><?xml version="1.0" encoding="utf-8"?>
<comments xmlns="http://schemas.openxmlformats.org/spreadsheetml/2006/main">
  <authors>
    <author>sheetjsghost</author>
  </authors>
  <commentList>
    <comment ref="A14" authorId="0">
      <text>
        <t>signature drink</t>
      </text>
    </comment>
  </commentList>
</comments>
</file>

<file path=xl/comments7.xml><?xml version="1.0" encoding="utf-8"?>
<comments xmlns="http://schemas.openxmlformats.org/spreadsheetml/2006/main">
  <authors>
    <author>sheetjsghost</author>
  </authors>
  <commentList>
    <comment ref="B1" authorId="0">
      <text>
        <t>(ingredients total grams / ingredients total cost) * 60g</t>
      </text>
    </comment>
    <comment ref="C1" authorId="0">
      <text>
        <t>(ingredients total grams / ingredients total cost) * 70g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₱]#,##0.00"/>
    <numFmt numFmtId="165" formatCode="M/d/yyyy"/>
    <numFmt numFmtId="16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workbookViewId="0" rightToLeft="0"/>
  </sheetViews>
  <cols>
    <col min="1" max="1" customWidth="1" width="21.22"/>
    <col min="2" max="2" customWidth="1" width="29.22"/>
    <col min="3" max="3" customWidth="1" width="25.89"/>
    <col min="4" max="4" customWidth="1" width="22.67"/>
    <col min="5" max="5" customWidth="1" width="19.44"/>
    <col min="6" max="6" customWidth="1" width="13"/>
    <col min="7" max="7" customWidth="1" width="24"/>
    <col min="8" max="8" customWidth="1" width="23.67"/>
    <col min="9" max="9" customWidth="1" width="21.44"/>
    <col min="10" max="10" customWidth="1" width="8.67"/>
    <col min="11" max="11" customWidth="1" width="20"/>
    <col min="12" max="12" customWidth="1" width="8.33"/>
    <col min="13" max="13" customWidth="1" width="8.11"/>
    <col min="14" max="14" customWidth="1" width="8.67"/>
  </cols>
  <sheetData>
    <row r="1" ht="22.5" customHeight="1">
      <c r="A1" t="str">
        <v>Item</v>
      </c>
      <c r="B1" t="str">
        <v>Volume/Weight</v>
      </c>
      <c r="C1" t="str">
        <v>unit</v>
      </c>
      <c r="D1" t="str">
        <v>QTY</v>
      </c>
      <c r="E1" t="str">
        <v>Price</v>
      </c>
      <c r="F1" t="str">
        <v>Total</v>
      </c>
      <c r="G1" t="str">
        <v>Method</v>
      </c>
      <c r="H1" t="str">
        <v>Date</v>
      </c>
      <c r="I1" t="str">
        <v>Supplier</v>
      </c>
    </row>
    <row r="2" ht="22.5" customHeight="1">
      <c r="A2" t="str">
        <v>Vanilla Syrup</v>
      </c>
      <c r="B2">
        <v>750</v>
      </c>
      <c r="C2" t="str">
        <v>ml</v>
      </c>
      <c r="D2">
        <v>2</v>
      </c>
      <c r="E2" s="1">
        <v>550</v>
      </c>
      <c r="F2" s="1">
        <f>D2*E2</f>
        <v>1100</v>
      </c>
      <c r="G2" t="str">
        <v>GCASH</v>
      </c>
      <c r="H2" s="2">
        <v>46100</v>
      </c>
      <c r="I2" t="str">
        <v>EQUILIBRIUM</v>
      </c>
    </row>
    <row r="3" ht="22.5" customHeight="1">
      <c r="A3" t="str">
        <v>Hazelnut</v>
      </c>
      <c r="B3">
        <v>750</v>
      </c>
      <c r="C3" t="str">
        <v>ml</v>
      </c>
      <c r="D3">
        <v>1</v>
      </c>
      <c r="E3" s="1">
        <v>550</v>
      </c>
      <c r="F3" s="1">
        <v>550</v>
      </c>
      <c r="G3" t="str">
        <v>GCASH</v>
      </c>
      <c r="H3" s="2">
        <v>46100</v>
      </c>
      <c r="I3" t="str">
        <v>EQUILIBRIUM</v>
      </c>
    </row>
    <row r="4" ht="22.5" customHeight="1">
      <c r="A4" t="str">
        <v>Caramel Sauce</v>
      </c>
      <c r="B4">
        <v>1890</v>
      </c>
      <c r="C4" t="str">
        <v>ml</v>
      </c>
      <c r="D4">
        <v>1</v>
      </c>
      <c r="E4" s="1">
        <v>1270</v>
      </c>
      <c r="F4" s="1">
        <v>1270</v>
      </c>
      <c r="G4" t="str">
        <v>GCASH</v>
      </c>
      <c r="H4" s="2">
        <v>46100</v>
      </c>
      <c r="I4" t="str">
        <v>EQUILIBRIUM</v>
      </c>
    </row>
    <row r="5" ht="22.5" customHeight="1">
      <c r="A5" t="str">
        <v>Brazil Santos Beans</v>
      </c>
      <c r="B5">
        <v>1000</v>
      </c>
      <c r="C5" t="str">
        <v>g</v>
      </c>
      <c r="D5">
        <v>1</v>
      </c>
      <c r="E5" s="1">
        <v>1125</v>
      </c>
      <c r="F5" s="1">
        <f>E5*D5</f>
        <v>1125</v>
      </c>
      <c r="G5" t="str">
        <v>GCASH</v>
      </c>
      <c r="H5" s="2">
        <v>46099</v>
      </c>
      <c r="I5" t="str">
        <v>ZARSUS</v>
      </c>
    </row>
    <row r="6" ht="22.5" customHeight="1">
      <c r="A6" t="str">
        <v>Brazil Santos Beans</v>
      </c>
      <c r="B6">
        <v>1000</v>
      </c>
      <c r="C6" t="str">
        <v>g</v>
      </c>
      <c r="D6">
        <v>1</v>
      </c>
      <c r="E6" s="1">
        <v>1125</v>
      </c>
      <c r="F6" s="1">
        <f>E6*D6</f>
        <v>1125</v>
      </c>
      <c r="G6" t="str">
        <v>GCASH</v>
      </c>
      <c r="H6" s="2">
        <v>46107</v>
      </c>
      <c r="I6" t="str">
        <v>ZARSUS</v>
      </c>
    </row>
    <row r="7" ht="22.5" customHeight="1">
      <c r="A7" t="str">
        <v>LBC Coffee Shipping Fee</v>
      </c>
      <c r="B7" t="str">
        <v>N/A</v>
      </c>
      <c r="C7" t="str">
        <v>N/A</v>
      </c>
      <c r="D7" t="str">
        <v>N/A</v>
      </c>
      <c r="E7" s="1">
        <v>359</v>
      </c>
      <c r="F7" s="1">
        <f>E7</f>
        <v>359</v>
      </c>
      <c r="G7" t="str">
        <v>GCASH</v>
      </c>
      <c r="H7" s="2">
        <v>46107</v>
      </c>
      <c r="I7" t="str">
        <v>ZARSUS</v>
      </c>
    </row>
    <row r="8" ht="22.5" customHeight="1">
      <c r="A8" t="str">
        <v>Ice Tubes</v>
      </c>
      <c r="B8">
        <v>10000</v>
      </c>
      <c r="C8" t="str">
        <v>g</v>
      </c>
      <c r="D8">
        <v>2</v>
      </c>
      <c r="E8" s="1">
        <v>95</v>
      </c>
      <c r="F8" s="1">
        <f>D8*E8</f>
        <v>190</v>
      </c>
      <c r="G8" t="str">
        <v>CASH</v>
      </c>
      <c r="H8" s="2">
        <v>46094</v>
      </c>
      <c r="I8" t="str">
        <v>ICEMAN</v>
      </c>
    </row>
    <row r="9" ht="22.5" customHeight="1">
      <c r="A9" t="str">
        <v>JollyCow</v>
      </c>
      <c r="B9">
        <v>1000</v>
      </c>
      <c r="C9" t="str">
        <v>ml</v>
      </c>
      <c r="D9">
        <v>5</v>
      </c>
      <c r="E9" s="1">
        <v>91.5</v>
      </c>
      <c r="F9" s="1">
        <f>D9*E9</f>
        <v>457.5</v>
      </c>
      <c r="G9" t="str">
        <v>CASH</v>
      </c>
      <c r="H9" s="2">
        <v>46095</v>
      </c>
      <c r="I9" t="str">
        <v>GAISANO PLAZA</v>
      </c>
    </row>
    <row r="10" ht="22.5" customHeight="1">
      <c r="A10" t="str">
        <v>Devondale</v>
      </c>
      <c r="B10">
        <v>1000</v>
      </c>
      <c r="C10" t="str">
        <v>ml</v>
      </c>
      <c r="D10">
        <v>4</v>
      </c>
      <c r="E10" s="1">
        <v>124.5</v>
      </c>
      <c r="F10" s="1">
        <f>D10*E10</f>
        <v>498</v>
      </c>
      <c r="G10" t="str">
        <v>CASH</v>
      </c>
      <c r="H10" s="2">
        <v>46095</v>
      </c>
      <c r="I10" t="str">
        <v>SM HYPERMARKET</v>
      </c>
    </row>
    <row r="11" ht="22.5" customHeight="1">
      <c r="A11" t="str">
        <v>JollyCow</v>
      </c>
      <c r="B11">
        <v>1000</v>
      </c>
      <c r="C11" t="str">
        <v>ml</v>
      </c>
      <c r="D11">
        <v>3</v>
      </c>
      <c r="E11" s="1">
        <v>101.25</v>
      </c>
      <c r="F11" s="1">
        <f>D11*E11</f>
        <v>303.75</v>
      </c>
      <c r="G11" t="str">
        <v>CASH</v>
      </c>
      <c r="H11" s="2">
        <v>46098</v>
      </c>
      <c r="I11" t="str">
        <v>ROBINSONS</v>
      </c>
    </row>
    <row r="12" ht="22.5" customHeight="1">
      <c r="A12" t="str">
        <v>Devondale</v>
      </c>
      <c r="B12">
        <v>1000</v>
      </c>
      <c r="C12" t="str">
        <v>ml</v>
      </c>
      <c r="D12">
        <v>3</v>
      </c>
      <c r="E12" s="1">
        <v>105</v>
      </c>
      <c r="F12" s="1">
        <f>D12*E12</f>
        <v>315</v>
      </c>
      <c r="G12" t="str">
        <v>CASH</v>
      </c>
      <c r="H12" s="2">
        <v>46098</v>
      </c>
      <c r="I12" t="str">
        <v>ROBINSONS</v>
      </c>
    </row>
    <row r="13" ht="22.5" customHeight="1">
      <c r="A13" t="str">
        <v>JollyCow</v>
      </c>
      <c r="B13">
        <v>1000</v>
      </c>
      <c r="C13" t="str">
        <v>ml</v>
      </c>
      <c r="D13">
        <v>4</v>
      </c>
      <c r="E13" s="1">
        <v>91.5</v>
      </c>
      <c r="F13" s="1">
        <f>D13*E13</f>
        <v>366</v>
      </c>
      <c r="G13" t="str">
        <v>CASH</v>
      </c>
      <c r="H13" s="2">
        <v>46101</v>
      </c>
      <c r="I13" t="str">
        <v>GAISANO PLAZA</v>
      </c>
    </row>
    <row r="14" ht="22.5" customHeight="1">
      <c r="A14" t="str">
        <v>Devondale</v>
      </c>
      <c r="B14">
        <v>1000</v>
      </c>
      <c r="C14" t="str">
        <v>ml</v>
      </c>
      <c r="D14">
        <v>3</v>
      </c>
      <c r="E14" s="1">
        <v>105</v>
      </c>
      <c r="F14" s="1">
        <f>D14*E14</f>
        <v>315</v>
      </c>
      <c r="G14" t="str">
        <v>CASH</v>
      </c>
      <c r="H14" s="2">
        <v>46101</v>
      </c>
      <c r="I14" t="str">
        <v>ROBINSONS</v>
      </c>
    </row>
    <row r="15" ht="22.5" customHeight="1">
      <c r="A15" t="str">
        <v>Nestle All Purpose Cream</v>
      </c>
      <c r="B15">
        <v>250</v>
      </c>
      <c r="C15" t="str">
        <v>ml</v>
      </c>
      <c r="D15">
        <v>3</v>
      </c>
      <c r="E15" s="1">
        <v>71</v>
      </c>
      <c r="F15" s="1">
        <f>D15*E15</f>
        <v>213</v>
      </c>
      <c r="G15" t="str">
        <v>CASH</v>
      </c>
      <c r="H15" s="2">
        <v>46101</v>
      </c>
      <c r="I15" t="str">
        <v>ROBINSONS</v>
      </c>
    </row>
    <row r="16" ht="22.5" customHeight="1">
      <c r="A16" t="str">
        <v>White Sugar</v>
      </c>
      <c r="B16">
        <v>1000</v>
      </c>
      <c r="C16" t="str">
        <v>g</v>
      </c>
      <c r="D16">
        <v>1</v>
      </c>
      <c r="E16" s="1">
        <v>80</v>
      </c>
      <c r="F16" s="1">
        <f>D16*E16</f>
        <v>80</v>
      </c>
      <c r="G16" t="str">
        <v>CASH</v>
      </c>
      <c r="H16" s="2">
        <v>46101</v>
      </c>
      <c r="I16" t="str">
        <v>ROBINSONS</v>
      </c>
    </row>
    <row r="17" ht="22.5" customHeight="1">
      <c r="A17" t="str">
        <v>Anchor Unsalted Butter</v>
      </c>
      <c r="B17">
        <v>200</v>
      </c>
      <c r="C17" t="str">
        <v>g</v>
      </c>
      <c r="D17">
        <v>3</v>
      </c>
      <c r="E17" s="1">
        <v>119</v>
      </c>
      <c r="F17" s="1">
        <f>D17*E17</f>
        <v>357</v>
      </c>
      <c r="G17" t="str">
        <v>CASH</v>
      </c>
      <c r="H17" s="2">
        <v>46101</v>
      </c>
      <c r="I17" t="str">
        <v>ROBINSONS</v>
      </c>
    </row>
    <row r="18" ht="22.5" customHeight="1">
      <c r="A18" t="str">
        <v>Anchor Salted Butter</v>
      </c>
      <c r="B18">
        <v>200</v>
      </c>
      <c r="C18" t="str">
        <v>g</v>
      </c>
      <c r="D18">
        <v>2</v>
      </c>
      <c r="E18" s="1">
        <v>119</v>
      </c>
      <c r="F18" s="1">
        <f>D18*E18</f>
        <v>238</v>
      </c>
      <c r="G18" t="str">
        <v>CASH</v>
      </c>
      <c r="H18" s="2">
        <v>46101</v>
      </c>
      <c r="I18" t="str">
        <v>ROBINSONS</v>
      </c>
    </row>
    <row r="19" ht="22.5" customHeight="1">
      <c r="A19" t="str">
        <v>Vanilla Extract</v>
      </c>
      <c r="B19">
        <v>20</v>
      </c>
      <c r="C19" t="str">
        <v>ml</v>
      </c>
      <c r="D19">
        <v>1</v>
      </c>
      <c r="E19" s="1">
        <v>46.75</v>
      </c>
      <c r="F19" s="1">
        <f>D19*E19</f>
        <v>46.75</v>
      </c>
      <c r="G19" t="str">
        <v>CASH</v>
      </c>
      <c r="H19" s="2">
        <v>46101</v>
      </c>
      <c r="I19" t="str">
        <v>GAISANO PLAZA</v>
      </c>
    </row>
    <row r="20" ht="22.5" customHeight="1">
      <c r="A20" t="str">
        <v>Magnolia Cream Cheese</v>
      </c>
      <c r="B20">
        <v>225</v>
      </c>
      <c r="C20" t="str">
        <v>g</v>
      </c>
      <c r="D20">
        <v>1</v>
      </c>
      <c r="E20" s="1">
        <v>162.25</v>
      </c>
      <c r="F20" s="1">
        <f>D20*E20</f>
        <v>162.25</v>
      </c>
      <c r="G20" t="str">
        <v>CASH</v>
      </c>
      <c r="H20" s="2">
        <v>46101</v>
      </c>
      <c r="I20" t="str">
        <v>GAISANO PLAZA</v>
      </c>
    </row>
    <row r="21" ht="22.5" customHeight="1">
      <c r="A21" t="str">
        <v>Goya Choco Chips</v>
      </c>
      <c r="B21">
        <v>150</v>
      </c>
      <c r="C21" t="str">
        <v>g</v>
      </c>
      <c r="D21">
        <v>2</v>
      </c>
      <c r="E21" s="1">
        <v>74.5</v>
      </c>
      <c r="F21" s="1">
        <f>D21*E21</f>
        <v>149</v>
      </c>
      <c r="G21" t="str">
        <v>CASH</v>
      </c>
      <c r="H21" s="2">
        <v>46101</v>
      </c>
      <c r="I21" t="str">
        <v>SM HYPERMARKET</v>
      </c>
    </row>
    <row r="22" ht="22.5" customHeight="1">
      <c r="A22" t="str">
        <v>Beryl's Chocolate Bar</v>
      </c>
      <c r="B22">
        <v>200</v>
      </c>
      <c r="C22" t="str">
        <v>g</v>
      </c>
      <c r="D22">
        <v>2</v>
      </c>
      <c r="E22" s="1">
        <v>94.5</v>
      </c>
      <c r="F22" s="1">
        <f>D22*E22</f>
        <v>189</v>
      </c>
      <c r="G22" t="str">
        <v>CASH</v>
      </c>
      <c r="H22" s="2">
        <v>46101</v>
      </c>
      <c r="I22" t="str">
        <v>SM HYPERMARKET</v>
      </c>
    </row>
    <row r="23" ht="22.5" customHeight="1">
      <c r="A23" t="str">
        <v>Cowbell Condensed Milk</v>
      </c>
      <c r="B23">
        <v>374</v>
      </c>
      <c r="C23" t="str">
        <v>g</v>
      </c>
      <c r="D23">
        <v>3</v>
      </c>
      <c r="E23" s="1">
        <v>40</v>
      </c>
      <c r="F23" s="1">
        <f>D23*E23</f>
        <v>120</v>
      </c>
      <c r="G23" t="str">
        <v>CASH</v>
      </c>
      <c r="H23" s="2">
        <v>46101</v>
      </c>
      <c r="I23" t="str">
        <v>SM HYPERMARKET</v>
      </c>
    </row>
    <row r="24" ht="22.5" customHeight="1">
      <c r="A24" t="str">
        <v>Choco Syrup (Hershey)</v>
      </c>
      <c r="B24">
        <v>623</v>
      </c>
      <c r="C24" t="str">
        <v>ml</v>
      </c>
      <c r="D24">
        <v>1</v>
      </c>
      <c r="E24" s="1">
        <v>309.5</v>
      </c>
      <c r="F24" s="1">
        <f>D24*E24</f>
        <v>309.5</v>
      </c>
      <c r="G24" t="str">
        <v>CASH</v>
      </c>
      <c r="H24" s="2">
        <v>46101</v>
      </c>
      <c r="I24" t="str">
        <v>SM HYPERMARKET</v>
      </c>
    </row>
    <row r="25" ht="22.5" customHeight="1">
      <c r="A25" t="str">
        <v>Devondale</v>
      </c>
      <c r="B25">
        <v>2000</v>
      </c>
      <c r="C25" t="str">
        <v>ml</v>
      </c>
      <c r="D25">
        <v>2</v>
      </c>
      <c r="E25" s="1">
        <v>220</v>
      </c>
      <c r="F25" s="1">
        <f>D25*E25</f>
        <v>440</v>
      </c>
      <c r="G25" t="str">
        <v>CASH</v>
      </c>
      <c r="H25" s="2">
        <v>46106</v>
      </c>
      <c r="I25" t="str">
        <v>GAISANO PLAZA</v>
      </c>
    </row>
    <row r="26" ht="22.5" customHeight="1">
      <c r="A26" t="str">
        <v>JollyCow</v>
      </c>
      <c r="B26">
        <v>1000</v>
      </c>
      <c r="C26" t="str">
        <v>ml</v>
      </c>
      <c r="D26">
        <v>4</v>
      </c>
      <c r="E26" s="1">
        <v>91.5</v>
      </c>
      <c r="F26" s="1">
        <f>D26*E26</f>
        <v>366</v>
      </c>
      <c r="G26" t="str">
        <v>CASH</v>
      </c>
      <c r="H26" s="2">
        <v>46106</v>
      </c>
      <c r="I26" t="str">
        <v>GAISANO PLAZA</v>
      </c>
    </row>
    <row r="27" ht="22.5" customHeight="1">
      <c r="A27" t="str">
        <v>Ice Tubes</v>
      </c>
      <c r="B27">
        <v>10000</v>
      </c>
      <c r="C27" t="str">
        <v>g</v>
      </c>
      <c r="D27">
        <v>2</v>
      </c>
      <c r="E27" s="1">
        <v>95</v>
      </c>
      <c r="F27" s="1">
        <f>D27*E27</f>
        <v>190</v>
      </c>
      <c r="G27" t="str">
        <v>CASH</v>
      </c>
      <c r="H27" s="2">
        <v>46100</v>
      </c>
      <c r="I27" t="str">
        <v>ICEMAN</v>
      </c>
    </row>
    <row r="28" ht="22.5" customHeight="1">
      <c r="A28" t="str">
        <v>12oz Cups</v>
      </c>
      <c r="B28">
        <v>50</v>
      </c>
      <c r="C28" t="str">
        <v>pcs</v>
      </c>
      <c r="D28">
        <v>2</v>
      </c>
      <c r="E28" s="1">
        <v>179</v>
      </c>
      <c r="F28" s="1">
        <f>D28*E28</f>
        <v>358</v>
      </c>
      <c r="G28" t="str">
        <v>CASH</v>
      </c>
      <c r="H28" s="2">
        <v>46101</v>
      </c>
      <c r="I28" t="str">
        <v>SHOPEE</v>
      </c>
    </row>
    <row r="29" ht="22.5" customHeight="1">
      <c r="A29" t="str">
        <v>Dome Lids</v>
      </c>
      <c r="B29">
        <v>50</v>
      </c>
      <c r="C29" t="str">
        <v>pcs</v>
      </c>
      <c r="D29">
        <v>2</v>
      </c>
      <c r="E29" s="1">
        <v>114</v>
      </c>
      <c r="F29" s="1">
        <f>D29*E29</f>
        <v>228</v>
      </c>
      <c r="G29" t="str">
        <v>CASH</v>
      </c>
      <c r="H29" s="2">
        <v>46101</v>
      </c>
      <c r="I29" t="str">
        <v>SHOPEE</v>
      </c>
    </row>
    <row r="30" ht="22.5" customHeight="1">
      <c r="A30" t="str">
        <v>Flat Lids</v>
      </c>
      <c r="B30">
        <v>50</v>
      </c>
      <c r="C30" t="str">
        <v>pcs</v>
      </c>
      <c r="D30">
        <v>2</v>
      </c>
      <c r="E30" s="1">
        <v>104</v>
      </c>
      <c r="F30" s="1">
        <f>D30*E30</f>
        <v>208</v>
      </c>
      <c r="G30" t="str">
        <v>CASH</v>
      </c>
      <c r="H30" s="2">
        <v>46101</v>
      </c>
      <c r="I30" t="str">
        <v>SHOPEE</v>
      </c>
    </row>
    <row r="31" ht="22.5" customHeight="1">
      <c r="A31" t="str">
        <v>Strawberry Puree</v>
      </c>
      <c r="B31">
        <v>3000</v>
      </c>
      <c r="C31" t="str">
        <v>g</v>
      </c>
      <c r="D31">
        <v>1</v>
      </c>
      <c r="E31" s="1">
        <v>378</v>
      </c>
      <c r="F31" s="1">
        <f>D31*E31</f>
        <v>378</v>
      </c>
      <c r="G31" t="str">
        <v>CASH</v>
      </c>
      <c r="H31" s="2">
        <v>46106</v>
      </c>
      <c r="I31" t="str">
        <v>SHOPEE</v>
      </c>
    </row>
    <row r="32" ht="22.5" customHeight="1">
      <c r="A32" t="str">
        <v>Blueberry Puree</v>
      </c>
      <c r="B32">
        <v>3000</v>
      </c>
      <c r="C32" t="str">
        <v>g</v>
      </c>
      <c r="D32">
        <v>1</v>
      </c>
      <c r="E32" s="1">
        <v>378</v>
      </c>
      <c r="F32" s="1">
        <f>D32*E32</f>
        <v>378</v>
      </c>
      <c r="G32" t="str">
        <v>CASH</v>
      </c>
      <c r="H32" s="2">
        <v>46106</v>
      </c>
      <c r="I32" t="str">
        <v>SHOPEE</v>
      </c>
    </row>
    <row r="33" ht="22.5" customHeight="1">
      <c r="A33" t="str">
        <v>JollyCow</v>
      </c>
      <c r="B33">
        <v>1000</v>
      </c>
      <c r="C33" t="str">
        <v>ml</v>
      </c>
      <c r="D33">
        <v>3</v>
      </c>
      <c r="E33" s="1">
        <v>91.5</v>
      </c>
      <c r="F33" s="1">
        <f>D33*E33</f>
        <v>274.5</v>
      </c>
      <c r="G33" t="str">
        <v>CASH</v>
      </c>
      <c r="H33" s="2">
        <v>46118</v>
      </c>
      <c r="I33" t="str">
        <v>GAISANO PLAZA</v>
      </c>
    </row>
    <row r="34" ht="22.5" customHeight="1">
      <c r="A34" t="str">
        <v>Devondale</v>
      </c>
      <c r="B34">
        <v>1000</v>
      </c>
      <c r="C34" t="str">
        <v>ml</v>
      </c>
      <c r="D34">
        <v>2</v>
      </c>
      <c r="E34" s="1">
        <v>105</v>
      </c>
      <c r="F34" s="1">
        <f>D34*E34</f>
        <v>210</v>
      </c>
      <c r="G34" t="str">
        <v>CASH</v>
      </c>
      <c r="H34" s="2">
        <v>46121</v>
      </c>
      <c r="I34" t="str">
        <v>ROBINSONS</v>
      </c>
    </row>
    <row r="35" ht="22.5" customHeight="1">
      <c r="A35" t="str">
        <v>JollyCow</v>
      </c>
      <c r="B35">
        <v>1000</v>
      </c>
      <c r="C35" t="str">
        <v>ml</v>
      </c>
      <c r="D35">
        <v>5</v>
      </c>
      <c r="E35" s="1">
        <v>91.5</v>
      </c>
      <c r="F35" s="1">
        <f>D35*E35</f>
        <v>457.5</v>
      </c>
      <c r="G35" t="str">
        <v>CASH</v>
      </c>
      <c r="H35" s="2">
        <v>46121</v>
      </c>
      <c r="I35" t="str">
        <v>GAISANO PLAZA</v>
      </c>
    </row>
    <row r="36" ht="22.5" customHeight="1">
      <c r="A36" t="str">
        <v>Jersey All Purpose Cream</v>
      </c>
      <c r="B36">
        <v>250</v>
      </c>
      <c r="C36" t="str">
        <v>ml</v>
      </c>
      <c r="D36">
        <v>3</v>
      </c>
      <c r="E36" s="1">
        <v>46.75</v>
      </c>
      <c r="F36" s="1">
        <f>D36*E36</f>
        <v>140.25</v>
      </c>
      <c r="G36" t="str">
        <v>CASH</v>
      </c>
      <c r="H36" s="2">
        <v>46121</v>
      </c>
      <c r="I36" t="str">
        <v>GAISANO PLAZA</v>
      </c>
    </row>
    <row r="37" ht="22.5" customHeight="1">
      <c r="A37" t="str">
        <v>Vanilla Extract</v>
      </c>
      <c r="B37">
        <v>20</v>
      </c>
      <c r="C37" t="str">
        <v>ml</v>
      </c>
      <c r="D37">
        <v>3</v>
      </c>
      <c r="E37" s="1">
        <v>54.5</v>
      </c>
      <c r="F37" s="1">
        <f>D37*E37</f>
        <v>163.5</v>
      </c>
      <c r="G37" t="str">
        <v>CASH</v>
      </c>
      <c r="H37" s="2">
        <v>46121</v>
      </c>
      <c r="I37" t="str">
        <v>SM HYPERMARKET</v>
      </c>
    </row>
    <row r="38" ht="22.5" customHeight="1">
      <c r="A38" t="str">
        <v>White Sugar</v>
      </c>
      <c r="B38">
        <v>1000</v>
      </c>
      <c r="C38" t="str">
        <v>g</v>
      </c>
      <c r="D38">
        <v>1</v>
      </c>
      <c r="E38" s="1">
        <v>109</v>
      </c>
      <c r="F38" s="1">
        <f>D38*E38</f>
        <v>109</v>
      </c>
      <c r="G38" t="str">
        <v>CASH</v>
      </c>
      <c r="H38" s="2">
        <v>46121</v>
      </c>
      <c r="I38" t="str">
        <v>SM HYPERMARKET</v>
      </c>
    </row>
    <row r="39" ht="22.5" customHeight="1">
      <c r="A39" t="str">
        <v>Brown Sugar</v>
      </c>
      <c r="B39">
        <v>1000</v>
      </c>
      <c r="C39" t="str">
        <v>g</v>
      </c>
      <c r="D39">
        <v>1</v>
      </c>
      <c r="E39" s="1">
        <v>83</v>
      </c>
      <c r="F39" s="1">
        <f>D39*E39</f>
        <v>83</v>
      </c>
      <c r="G39" t="str">
        <v>CASH</v>
      </c>
      <c r="H39" s="2">
        <v>46121</v>
      </c>
      <c r="I39" t="str">
        <v>SM HYPERMARKET</v>
      </c>
    </row>
    <row r="40" ht="22.5" customHeight="1">
      <c r="A40" t="str">
        <v>Crushed Oreo</v>
      </c>
      <c r="B40">
        <v>454</v>
      </c>
      <c r="C40" t="str">
        <v>g</v>
      </c>
      <c r="D40">
        <v>1</v>
      </c>
      <c r="E40" s="1">
        <v>207.5</v>
      </c>
      <c r="F40" s="1">
        <f>D40*E40</f>
        <v>207.5</v>
      </c>
      <c r="G40" t="str">
        <v>CASH</v>
      </c>
      <c r="H40" s="2">
        <v>46121</v>
      </c>
      <c r="I40" t="str">
        <v>SM HYPERMARKET</v>
      </c>
    </row>
    <row r="41" ht="22.5" customHeight="1">
      <c r="A41" t="str">
        <v>Cowbell Condensed Milk</v>
      </c>
      <c r="B41">
        <v>374</v>
      </c>
      <c r="C41" t="str">
        <v>g</v>
      </c>
      <c r="D41">
        <v>4</v>
      </c>
      <c r="E41" s="1">
        <v>40</v>
      </c>
      <c r="F41" s="1">
        <f>D41*E41</f>
        <v>160</v>
      </c>
      <c r="G41" t="str">
        <v>CASH</v>
      </c>
      <c r="H41" s="2">
        <v>46121</v>
      </c>
      <c r="I41" t="str">
        <v>SM HYPERMARKET</v>
      </c>
    </row>
    <row r="42" ht="22.5" customHeight="1">
      <c r="A42" t="str">
        <v>Anchor Unsalted Butter</v>
      </c>
      <c r="B42">
        <v>200</v>
      </c>
      <c r="C42" t="str">
        <v>g</v>
      </c>
      <c r="D42">
        <v>3</v>
      </c>
      <c r="E42" s="1">
        <v>119</v>
      </c>
      <c r="F42" s="1">
        <f>D42*E42</f>
        <v>357</v>
      </c>
      <c r="G42" t="str">
        <v>CASH</v>
      </c>
      <c r="H42" s="2">
        <v>46121</v>
      </c>
      <c r="I42" t="str">
        <v>SM HYPERMARKET</v>
      </c>
    </row>
    <row r="43" ht="22.5" customHeight="1">
      <c r="A43" t="str">
        <v>Fontana Orange Juice</v>
      </c>
      <c r="B43">
        <v>1000</v>
      </c>
      <c r="C43" t="str">
        <v>ml</v>
      </c>
      <c r="D43">
        <v>1</v>
      </c>
      <c r="E43" s="1">
        <v>107.95</v>
      </c>
      <c r="F43" s="1">
        <f>D43*E43</f>
        <v>107.95</v>
      </c>
      <c r="G43" t="str">
        <v>CASH</v>
      </c>
      <c r="H43" s="2">
        <v>46121</v>
      </c>
      <c r="I43" t="str">
        <v>SM HYPERMARKET</v>
      </c>
    </row>
    <row r="44" ht="22.5" customHeight="1">
      <c r="A44" t="str">
        <v>Ice Tubes</v>
      </c>
      <c r="B44">
        <v>10000</v>
      </c>
      <c r="C44" t="str">
        <v>g</v>
      </c>
      <c r="D44">
        <v>2</v>
      </c>
      <c r="E44" s="1">
        <v>95</v>
      </c>
      <c r="F44" s="1">
        <f>D44*E44</f>
        <v>190</v>
      </c>
      <c r="G44" t="str">
        <v>CASH</v>
      </c>
      <c r="H44" s="2">
        <v>46112</v>
      </c>
      <c r="I44" t="str">
        <v>ICEMAN</v>
      </c>
    </row>
    <row r="45" ht="22.5" customHeight="1">
      <c r="A45" t="str">
        <v>Devondale</v>
      </c>
      <c r="B45">
        <v>1000</v>
      </c>
      <c r="C45" t="str">
        <v>ml</v>
      </c>
      <c r="D45">
        <v>3</v>
      </c>
      <c r="E45" s="1">
        <v>115</v>
      </c>
      <c r="F45" s="1">
        <f>D45*E45</f>
        <v>345</v>
      </c>
      <c r="G45" t="str">
        <v>CASH</v>
      </c>
      <c r="H45" s="2">
        <v>46113</v>
      </c>
      <c r="I45" t="str">
        <v>METRO VALUEMART</v>
      </c>
    </row>
    <row r="46" ht="22.5" customHeight="1">
      <c r="A46" t="str">
        <v>Nestle All Purpose Cream</v>
      </c>
      <c r="B46">
        <v>250</v>
      </c>
      <c r="C46" t="str">
        <v>ml</v>
      </c>
      <c r="D46">
        <v>3</v>
      </c>
      <c r="E46" s="1">
        <v>72</v>
      </c>
      <c r="F46" s="1">
        <f>D46*E46</f>
        <v>216</v>
      </c>
      <c r="G46" t="str">
        <v>CASH</v>
      </c>
      <c r="H46" s="2">
        <v>46113</v>
      </c>
      <c r="I46" t="str">
        <v>METRO VALUEMART</v>
      </c>
    </row>
    <row r="47" ht="22.5" customHeight="1">
      <c r="A47" t="str">
        <v>Ice Tubes</v>
      </c>
      <c r="B47">
        <v>10000</v>
      </c>
      <c r="C47" t="str">
        <v>g</v>
      </c>
      <c r="D47">
        <v>2</v>
      </c>
      <c r="E47" s="1">
        <v>95</v>
      </c>
      <c r="F47" s="1">
        <f>D47*E47</f>
        <v>190</v>
      </c>
      <c r="G47" t="str">
        <v>CASH</v>
      </c>
      <c r="H47" s="2">
        <v>46127</v>
      </c>
      <c r="I47" t="str">
        <v>ICEMAN</v>
      </c>
    </row>
    <row r="48" ht="22.5" customHeight="1">
      <c r="A48" t="str">
        <v>Choco Syrup (Hershey)</v>
      </c>
      <c r="B48">
        <v>623</v>
      </c>
      <c r="C48" t="str">
        <v>ml</v>
      </c>
      <c r="D48">
        <v>1</v>
      </c>
      <c r="E48" s="1">
        <v>309.5</v>
      </c>
      <c r="F48" s="1">
        <f>D48*E48</f>
        <v>309.5</v>
      </c>
      <c r="G48" t="str">
        <v>CASH</v>
      </c>
      <c r="H48" s="2">
        <v>46127</v>
      </c>
      <c r="I48" t="str">
        <v>SM HYPERMARKET</v>
      </c>
    </row>
    <row r="49" ht="22.5" customHeight="1">
      <c r="A49" t="str">
        <v>Devondale</v>
      </c>
      <c r="B49">
        <v>1000</v>
      </c>
      <c r="C49" t="str">
        <v>ml</v>
      </c>
      <c r="D49">
        <v>4</v>
      </c>
      <c r="E49" s="1">
        <v>105</v>
      </c>
      <c r="F49" s="1">
        <f>D49*E49</f>
        <v>420</v>
      </c>
      <c r="G49" t="str">
        <v>CASH</v>
      </c>
      <c r="H49" s="2">
        <v>46127</v>
      </c>
      <c r="I49" t="str">
        <v>ROBINSONS</v>
      </c>
    </row>
    <row r="50" ht="22.5" customHeight="1">
      <c r="A50" t="str">
        <v>JollyCow</v>
      </c>
      <c r="B50">
        <v>1000</v>
      </c>
      <c r="C50" t="str">
        <v>ml</v>
      </c>
      <c r="D50">
        <v>4</v>
      </c>
      <c r="E50" s="1">
        <v>91.5</v>
      </c>
      <c r="F50" s="1">
        <f>D50*E50</f>
        <v>366</v>
      </c>
      <c r="G50" t="str">
        <v>CASH</v>
      </c>
      <c r="H50" s="2">
        <v>46127</v>
      </c>
      <c r="I50" t="str">
        <v>GAISANO PLAZA</v>
      </c>
    </row>
    <row r="51" ht="22.5" customHeight="1">
      <c r="A51" t="str">
        <v>12oz Cups - 95mm</v>
      </c>
      <c r="B51">
        <v>1</v>
      </c>
      <c r="C51" t="str">
        <v>pcs</v>
      </c>
      <c r="D51">
        <v>1000</v>
      </c>
      <c r="E51" s="1">
        <v>2.1</v>
      </c>
      <c r="F51" s="1">
        <f>D51*E51</f>
        <v>2100</v>
      </c>
      <c r="G51" t="str">
        <v>GCASH</v>
      </c>
      <c r="H51" s="2">
        <v>46129</v>
      </c>
      <c r="I51" t="str">
        <v>LANGMA PACKING SUPPLIES</v>
      </c>
    </row>
    <row r="52" ht="22.5" customHeight="1">
      <c r="A52" t="str">
        <v>16oz Cups - 95mm</v>
      </c>
      <c r="B52">
        <v>1</v>
      </c>
      <c r="C52" t="str">
        <v>pcs</v>
      </c>
      <c r="D52">
        <v>1000</v>
      </c>
      <c r="E52" s="1">
        <v>2.4</v>
      </c>
      <c r="F52" s="1">
        <f>D52*E52</f>
        <v>2400</v>
      </c>
      <c r="G52" t="str">
        <v>GCASH</v>
      </c>
      <c r="H52" s="2">
        <v>46129</v>
      </c>
      <c r="I52" t="str">
        <v>LANGMA PACKING SUPPLIES</v>
      </c>
    </row>
    <row r="53" ht="22.5" customHeight="1">
      <c r="A53" t="str">
        <v>Sip Lids - 95mm</v>
      </c>
      <c r="B53">
        <v>1</v>
      </c>
      <c r="C53" t="str">
        <v>pcs</v>
      </c>
      <c r="D53">
        <v>1000</v>
      </c>
      <c r="E53" s="1">
        <v>1</v>
      </c>
      <c r="F53" s="1">
        <f>D53*E53</f>
        <v>1000</v>
      </c>
      <c r="G53" t="str">
        <v>GCASH</v>
      </c>
      <c r="H53" s="2">
        <v>46129</v>
      </c>
      <c r="I53" t="str">
        <v>LANGMA PACKING SUPPLIES</v>
      </c>
    </row>
    <row r="54" ht="22.5" customHeight="1">
      <c r="A54" t="str">
        <v>Langma Delivery Fee</v>
      </c>
      <c r="B54" t="str">
        <v>N/A</v>
      </c>
      <c r="C54" t="str">
        <v>N/A</v>
      </c>
      <c r="D54" t="str">
        <v>N/A</v>
      </c>
      <c r="E54" s="1">
        <v>300</v>
      </c>
      <c r="F54" s="1">
        <f>E54</f>
        <v>300</v>
      </c>
      <c r="G54" t="str">
        <v>CASH</v>
      </c>
      <c r="H54" s="2">
        <v>46129</v>
      </c>
      <c r="I54" t="str">
        <v>LANGMA PACKING SUPPLIES</v>
      </c>
    </row>
    <row r="55" ht="22.5" customHeight="1">
      <c r="A55" t="str">
        <v>JollyCow</v>
      </c>
      <c r="B55">
        <v>1000</v>
      </c>
      <c r="C55" t="str">
        <v>ml</v>
      </c>
      <c r="D55">
        <v>6</v>
      </c>
      <c r="E55" s="1">
        <v>176.45</v>
      </c>
      <c r="F55" s="1">
        <f>(E55*D55)/2</f>
        <v>529.35</v>
      </c>
      <c r="G55" t="str">
        <v>CASH</v>
      </c>
      <c r="H55" s="2">
        <v>46138</v>
      </c>
      <c r="I55" t="str">
        <v>GAISANO MACTAN ISLAND</v>
      </c>
    </row>
    <row r="56" ht="22.5" customHeight="1">
      <c r="A56" t="str">
        <v>Devondale</v>
      </c>
      <c r="B56">
        <v>1000</v>
      </c>
      <c r="C56" t="str">
        <v>ml</v>
      </c>
      <c r="D56">
        <v>2</v>
      </c>
      <c r="E56" s="1">
        <v>220</v>
      </c>
      <c r="F56" s="1">
        <f>(E56*D56)/2</f>
        <v>220</v>
      </c>
      <c r="G56" t="str">
        <v>CASH</v>
      </c>
      <c r="H56" s="2">
        <v>46135</v>
      </c>
      <c r="I56" t="str">
        <v>GAISANO PLAZA</v>
      </c>
    </row>
    <row r="57" ht="22.5" customHeight="1">
      <c r="A57" t="str">
        <v>Jersey All Purpose Cream</v>
      </c>
      <c r="B57">
        <v>250</v>
      </c>
      <c r="C57" t="str">
        <v>ml</v>
      </c>
      <c r="D57">
        <v>1</v>
      </c>
      <c r="E57" s="1">
        <v>47.5</v>
      </c>
      <c r="F57" s="1">
        <f>E57</f>
        <v>47.5</v>
      </c>
      <c r="G57" t="str">
        <v>CASH</v>
      </c>
      <c r="H57" s="2">
        <v>46135</v>
      </c>
      <c r="I57" t="str">
        <v>GAISANO PLAZA</v>
      </c>
    </row>
    <row r="58" ht="22.5" customHeight="1">
      <c r="A58" t="str">
        <v>Nestle All Purpose Cream</v>
      </c>
      <c r="B58">
        <v>250</v>
      </c>
      <c r="C58" t="str">
        <v>ml</v>
      </c>
      <c r="D58">
        <v>1</v>
      </c>
      <c r="E58" s="1">
        <v>72</v>
      </c>
      <c r="F58" s="1">
        <f>E58</f>
        <v>72</v>
      </c>
      <c r="G58" t="str">
        <v>CASH</v>
      </c>
      <c r="H58" s="2">
        <v>46135</v>
      </c>
      <c r="I58" t="str">
        <v>GAISANO PLAZA</v>
      </c>
    </row>
    <row r="59" ht="22.5" customHeight="1">
      <c r="A59" t="str">
        <v>21cm Bobba Straws</v>
      </c>
      <c r="B59">
        <v>100</v>
      </c>
      <c r="C59" t="str">
        <v>pcs</v>
      </c>
      <c r="D59">
        <v>2</v>
      </c>
      <c r="E59" s="1">
        <v>65</v>
      </c>
      <c r="F59" s="1">
        <f>E59*D59</f>
        <v>130</v>
      </c>
      <c r="G59" t="str">
        <v>CASH</v>
      </c>
      <c r="H59" s="2">
        <v>46138</v>
      </c>
      <c r="I59" t="str">
        <v>SHOPEE</v>
      </c>
    </row>
    <row r="60" ht="22.5" customHeight="1">
      <c r="A60" t="str">
        <v>21cm Thin Straws</v>
      </c>
      <c r="B60">
        <v>100</v>
      </c>
      <c r="C60" t="str">
        <v>pcs</v>
      </c>
      <c r="D60">
        <v>2</v>
      </c>
      <c r="E60" s="1">
        <v>39</v>
      </c>
      <c r="F60" s="1">
        <f>E60*D60</f>
        <v>78</v>
      </c>
      <c r="G60" t="str">
        <v>CASH</v>
      </c>
      <c r="H60" s="2">
        <v>46138</v>
      </c>
      <c r="I60" t="str">
        <v>SHOPEE</v>
      </c>
    </row>
    <row r="61" ht="22.5" customHeight="1">
      <c r="A61" t="str">
        <v>Single Takeout Plastic Bag</v>
      </c>
      <c r="B61">
        <v>100</v>
      </c>
      <c r="C61" t="str">
        <v>pcs</v>
      </c>
      <c r="D61">
        <v>1</v>
      </c>
      <c r="E61" s="1">
        <v>63</v>
      </c>
      <c r="F61" s="1">
        <f>E61*D61</f>
        <v>63</v>
      </c>
      <c r="G61" t="str">
        <v>CASH</v>
      </c>
      <c r="H61" s="2">
        <v>46138</v>
      </c>
      <c r="I61" t="str">
        <v>SHOPEE</v>
      </c>
    </row>
    <row r="62" ht="22.5" customHeight="1">
      <c r="A62" t="str">
        <v>Choco Syrup (Hershey)</v>
      </c>
      <c r="B62">
        <v>1360</v>
      </c>
      <c r="C62" t="str">
        <v>ml</v>
      </c>
      <c r="D62">
        <v>1</v>
      </c>
      <c r="E62" s="1">
        <v>328</v>
      </c>
      <c r="F62" s="1">
        <f>E62*D62</f>
        <v>328</v>
      </c>
      <c r="G62" t="str">
        <v>CASH</v>
      </c>
      <c r="H62" s="2">
        <v>46142</v>
      </c>
      <c r="I62" t="str">
        <v>SHOPEE</v>
      </c>
    </row>
    <row r="63" ht="22.5" customHeight="1">
      <c r="A63" t="str">
        <v>Ice Tubes</v>
      </c>
      <c r="B63">
        <v>6000</v>
      </c>
      <c r="C63" t="str">
        <v>g</v>
      </c>
      <c r="D63">
        <v>3</v>
      </c>
      <c r="E63" s="1">
        <v>29</v>
      </c>
      <c r="F63" s="1">
        <f>E63*D63</f>
        <v>87</v>
      </c>
      <c r="G63" t="str">
        <v>CASH</v>
      </c>
      <c r="H63" s="2">
        <v>46143</v>
      </c>
      <c r="I63" t="str">
        <v>7-ELEVEN</v>
      </c>
    </row>
    <row r="64" ht="22.5" customHeight="1">
      <c r="A64" t="str">
        <v>Sagada Arabica</v>
      </c>
      <c r="B64">
        <v>2000</v>
      </c>
      <c r="C64" t="str">
        <v>g</v>
      </c>
      <c r="D64">
        <v>2</v>
      </c>
      <c r="E64" s="1">
        <v>840</v>
      </c>
      <c r="F64" s="1">
        <f>E64*D64</f>
        <v>1680</v>
      </c>
      <c r="G64" t="str">
        <v>GCASH</v>
      </c>
      <c r="H64" s="2">
        <v>46144</v>
      </c>
      <c r="I64" t="str">
        <v>ZARSUS</v>
      </c>
    </row>
    <row r="65" ht="22.5" customHeight="1">
      <c r="A65" t="str">
        <v>Devondale</v>
      </c>
      <c r="B65">
        <v>1000</v>
      </c>
      <c r="C65" t="str">
        <v>ml</v>
      </c>
      <c r="D65">
        <v>4</v>
      </c>
      <c r="E65" s="1">
        <v>108.75</v>
      </c>
      <c r="F65" s="1">
        <f>E65*D65</f>
        <v>435</v>
      </c>
      <c r="G65" t="str">
        <v>CASH</v>
      </c>
      <c r="H65" s="2">
        <v>46149</v>
      </c>
      <c r="I65" t="str">
        <v>ROBINSONS</v>
      </c>
    </row>
    <row r="66" ht="22.5" customHeight="1">
      <c r="A66" t="str">
        <v>JollyCow</v>
      </c>
      <c r="B66">
        <v>2000</v>
      </c>
      <c r="C66" t="str">
        <v>ml</v>
      </c>
      <c r="D66">
        <v>3</v>
      </c>
      <c r="E66" s="1">
        <v>176.45</v>
      </c>
      <c r="F66" s="1">
        <f>E66*D66</f>
        <v>529.35</v>
      </c>
      <c r="G66" t="str">
        <v>CASH</v>
      </c>
      <c r="H66" s="2">
        <v>46145</v>
      </c>
      <c r="I66" t="str">
        <v>GAISANO MACTAN ISLAND</v>
      </c>
    </row>
    <row r="67" ht="22.5" customHeight="1">
      <c r="A67" t="str">
        <v>Nestle All Purpose Cream</v>
      </c>
      <c r="B67">
        <v>250</v>
      </c>
      <c r="C67" t="str">
        <v>ml</v>
      </c>
      <c r="D67">
        <v>3</v>
      </c>
      <c r="E67" s="1">
        <v>69.8</v>
      </c>
      <c r="F67" s="1">
        <f>E67*D67</f>
        <v>209.4</v>
      </c>
      <c r="G67" t="str">
        <v>CASH</v>
      </c>
      <c r="H67" s="2">
        <v>46145</v>
      </c>
      <c r="I67" t="str">
        <v>GAISANO MACTAN ISLAND</v>
      </c>
    </row>
    <row r="68" ht="22.5" customHeight="1">
      <c r="A68" t="str">
        <v>Ice Tubes</v>
      </c>
      <c r="B68">
        <v>10000</v>
      </c>
      <c r="C68" t="str">
        <v>g</v>
      </c>
      <c r="D68">
        <v>2</v>
      </c>
      <c r="E68" s="1">
        <v>95</v>
      </c>
      <c r="F68" s="1">
        <f>E68*D68</f>
        <v>190</v>
      </c>
      <c r="G68" t="str">
        <v>CASH</v>
      </c>
      <c r="H68" s="2">
        <v>46149</v>
      </c>
      <c r="I68" t="str">
        <v>ICEMAN</v>
      </c>
    </row>
    <row r="69" ht="22.5" customHeight="1">
      <c r="A69" t="str">
        <v>Sagada Arabica</v>
      </c>
      <c r="B69">
        <v>1000</v>
      </c>
      <c r="C69" t="str">
        <v>g</v>
      </c>
      <c r="D69">
        <v>2</v>
      </c>
      <c r="E69" s="1">
        <v>840</v>
      </c>
      <c r="F69" s="1">
        <f>E69*D69</f>
        <v>1680</v>
      </c>
      <c r="G69" t="str">
        <v>GCASH</v>
      </c>
      <c r="H69" s="2">
        <v>46144</v>
      </c>
      <c r="I69" t="str">
        <v>ZARSUS</v>
      </c>
    </row>
    <row r="70" ht="22.5" customHeight="1">
      <c r="A70" t="str">
        <v>LBC Coffee Shipping Fee</v>
      </c>
      <c r="B70" t="str">
        <v>N/A</v>
      </c>
      <c r="C70" t="str">
        <v>N/A</v>
      </c>
      <c r="D70" t="str">
        <v>N/A</v>
      </c>
      <c r="E70" s="1">
        <v>859</v>
      </c>
      <c r="F70" s="1">
        <f>E70</f>
        <v>859</v>
      </c>
      <c r="G70" t="str">
        <v>CASH</v>
      </c>
      <c r="H70" s="2">
        <v>46153</v>
      </c>
      <c r="I70" t="str">
        <v>ZARSUS</v>
      </c>
    </row>
    <row r="71" ht="22.5" customHeight="1">
      <c r="A71" t="str">
        <v>Sagada Arabica</v>
      </c>
      <c r="B71">
        <v>1000</v>
      </c>
      <c r="C71" t="str">
        <v>g</v>
      </c>
      <c r="D71">
        <v>2</v>
      </c>
      <c r="E71" s="1">
        <v>840</v>
      </c>
      <c r="F71" s="1">
        <f>E71*D71</f>
        <v>1680</v>
      </c>
      <c r="G71" t="str">
        <v>GCASH</v>
      </c>
      <c r="H71" s="2">
        <v>46154</v>
      </c>
      <c r="I71" t="str">
        <v>ZARSUS</v>
      </c>
    </row>
    <row r="72" ht="22.5" customHeight="1">
      <c r="A72" t="str">
        <v>Biscoff Spread</v>
      </c>
      <c r="B72">
        <v>400</v>
      </c>
      <c r="C72" t="str">
        <v>g</v>
      </c>
      <c r="D72">
        <v>2</v>
      </c>
      <c r="E72" s="1">
        <v>419.5</v>
      </c>
      <c r="F72" s="1">
        <f>E72*D72</f>
        <v>839</v>
      </c>
      <c r="G72" t="str">
        <v>CASH</v>
      </c>
      <c r="H72" s="2">
        <v>46154</v>
      </c>
      <c r="I72" t="str">
        <v>SM HYPERMARKET</v>
      </c>
    </row>
    <row r="73" ht="22.5" customHeight="1">
      <c r="A73" t="str">
        <v>JollyCow</v>
      </c>
      <c r="B73">
        <v>1000</v>
      </c>
      <c r="C73" t="str">
        <v>ml</v>
      </c>
      <c r="D73">
        <v>4</v>
      </c>
      <c r="E73" s="1">
        <v>101.25</v>
      </c>
      <c r="F73" s="1">
        <f>E73*D73</f>
        <v>405</v>
      </c>
      <c r="G73" t="str">
        <v>CASH</v>
      </c>
      <c r="H73" s="2">
        <v>46159</v>
      </c>
      <c r="I73" t="str">
        <v>ROBINSONS</v>
      </c>
    </row>
    <row r="74" ht="22.5" customHeight="1">
      <c r="A74" t="str">
        <v>Devondale</v>
      </c>
      <c r="B74">
        <v>1000</v>
      </c>
      <c r="C74" t="str">
        <v>ml</v>
      </c>
      <c r="D74">
        <v>2</v>
      </c>
      <c r="E74" s="1">
        <v>108.75</v>
      </c>
      <c r="F74" s="1">
        <f>E74*D74</f>
        <v>217.5</v>
      </c>
      <c r="G74" t="str">
        <v>CASH</v>
      </c>
      <c r="H74" s="2">
        <v>46159</v>
      </c>
      <c r="I74" t="str">
        <v>ROBINSONS</v>
      </c>
    </row>
    <row r="75" ht="22.5" customHeight="1">
      <c r="A75" t="str">
        <v>Hershey's Cocoa Powder</v>
      </c>
      <c r="B75">
        <v>226</v>
      </c>
      <c r="C75" t="str">
        <v>g</v>
      </c>
      <c r="D75">
        <v>1</v>
      </c>
      <c r="E75" s="1">
        <v>344</v>
      </c>
      <c r="F75" s="1">
        <f>E75*D75</f>
        <v>344</v>
      </c>
      <c r="G75" t="str">
        <v>CASH</v>
      </c>
      <c r="H75" s="2">
        <v>46159</v>
      </c>
      <c r="I75" t="str">
        <v>ROBINSONS</v>
      </c>
    </row>
    <row r="76" ht="22.5" customHeight="1">
      <c r="A76" t="str">
        <v>Nestle All Purpose Cream</v>
      </c>
      <c r="B76">
        <v>250</v>
      </c>
      <c r="C76" t="str">
        <v>ml</v>
      </c>
      <c r="D76">
        <v>4</v>
      </c>
      <c r="E76" s="1">
        <v>72</v>
      </c>
      <c r="F76" s="1">
        <f>E76*D76</f>
        <v>288</v>
      </c>
      <c r="G76" t="str">
        <v>CASH</v>
      </c>
      <c r="H76" s="2">
        <v>46159</v>
      </c>
      <c r="I76" t="str">
        <v>ROBINSONS</v>
      </c>
    </row>
    <row r="77" ht="22.5" customHeight="1">
      <c r="A77" t="str">
        <v>Vanilla Syrup</v>
      </c>
      <c r="B77">
        <v>750</v>
      </c>
      <c r="C77" t="str">
        <v>ml</v>
      </c>
      <c r="D77">
        <v>2</v>
      </c>
      <c r="E77" s="1">
        <v>550</v>
      </c>
      <c r="F77" s="1">
        <f>E77*D77</f>
        <v>1100</v>
      </c>
      <c r="G77" t="str">
        <v>GCASH</v>
      </c>
      <c r="H77" s="2">
        <v>46164</v>
      </c>
      <c r="I77" t="str">
        <v>EQUILIBRIUM</v>
      </c>
    </row>
    <row r="78" ht="22.5" customHeight="1">
      <c r="A78" t="str">
        <v>Delivery Fee</v>
      </c>
      <c r="B78" t="str">
        <v>N/A</v>
      </c>
      <c r="C78" t="str">
        <v>N/A</v>
      </c>
      <c r="D78" t="str">
        <v>N/A</v>
      </c>
      <c r="E78" s="1">
        <v>140</v>
      </c>
      <c r="F78" s="1">
        <v>140</v>
      </c>
      <c r="G78" t="str">
        <v>CASH</v>
      </c>
      <c r="H78" s="2">
        <v>46164</v>
      </c>
      <c r="I78" t="str">
        <v>EQUILIBRIUM</v>
      </c>
    </row>
    <row r="79" ht="22.5" customHeight="1">
      <c r="A79" t="str">
        <v>Jollycow</v>
      </c>
      <c r="B79">
        <v>1000</v>
      </c>
      <c r="C79" t="str">
        <v>ml</v>
      </c>
      <c r="D79">
        <v>4</v>
      </c>
      <c r="E79" s="1">
        <v>93.6</v>
      </c>
      <c r="F79" s="1">
        <f>E79*D79</f>
        <v>374.4</v>
      </c>
      <c r="G79" t="str">
        <v>GCASH</v>
      </c>
      <c r="H79" s="2">
        <v>46167</v>
      </c>
      <c r="I79" t="str">
        <v>GAISANO MACTAN ISLAND</v>
      </c>
    </row>
    <row r="80" ht="22.5" customHeight="1">
      <c r="A80" t="str">
        <v>Rolled Oats (Quaker)</v>
      </c>
      <c r="B80">
        <v>500</v>
      </c>
      <c r="C80" t="str">
        <v>g</v>
      </c>
      <c r="D80">
        <v>1</v>
      </c>
      <c r="E80" s="1">
        <v>111.25</v>
      </c>
      <c r="F80" s="1">
        <f>E80*D80</f>
        <v>111.25</v>
      </c>
      <c r="G80" t="str">
        <v>GCASH</v>
      </c>
      <c r="H80" s="2">
        <v>46166</v>
      </c>
      <c r="I80" t="str">
        <v>GAISANO PLAZA</v>
      </c>
    </row>
    <row r="81" ht="22.5" customHeight="1">
      <c r="A81" t="str">
        <v>White Sugar</v>
      </c>
      <c r="B81">
        <v>1000</v>
      </c>
      <c r="C81" t="str">
        <v>g</v>
      </c>
      <c r="D81">
        <v>1</v>
      </c>
      <c r="E81" s="1">
        <v>92.5</v>
      </c>
      <c r="F81" s="1">
        <f>E81*D81</f>
        <v>92.5</v>
      </c>
      <c r="G81" t="str">
        <v>GCASH</v>
      </c>
      <c r="H81" s="2">
        <v>46166</v>
      </c>
      <c r="I81" t="str">
        <v>GAISANO PLAZA</v>
      </c>
    </row>
    <row r="82" ht="22.5" customHeight="1">
      <c r="A82" t="str">
        <v>All Purpose Flour (CREAM)</v>
      </c>
      <c r="B82">
        <v>2000</v>
      </c>
      <c r="C82" t="str">
        <v>g</v>
      </c>
      <c r="D82">
        <v>1</v>
      </c>
      <c r="E82" s="1">
        <v>224.25</v>
      </c>
      <c r="F82" s="1">
        <f>E82*D82</f>
        <v>224.25</v>
      </c>
      <c r="G82" t="str">
        <v>GCASH</v>
      </c>
      <c r="H82" s="2">
        <v>46166</v>
      </c>
      <c r="I82" t="str">
        <v>GAISANO PLAZA</v>
      </c>
    </row>
    <row r="83" ht="22.5" customHeight="1">
      <c r="A83" t="str">
        <v>Baking Powder (Queen)</v>
      </c>
      <c r="B83">
        <v>200</v>
      </c>
      <c r="C83" t="str">
        <v>g</v>
      </c>
      <c r="D83">
        <v>1</v>
      </c>
      <c r="E83" s="1">
        <v>59</v>
      </c>
      <c r="F83" s="1">
        <f>E83*D83</f>
        <v>59</v>
      </c>
      <c r="G83" t="str">
        <v>GCASH</v>
      </c>
      <c r="H83" s="2">
        <v>46166</v>
      </c>
      <c r="I83" t="str">
        <v>GAISANO PLAZA</v>
      </c>
    </row>
    <row r="84" ht="22.5" customHeight="1">
      <c r="A84" t="str">
        <v>Raisins (RAM)</v>
      </c>
      <c r="B84">
        <v>200</v>
      </c>
      <c r="C84" t="str">
        <v>g</v>
      </c>
      <c r="D84">
        <v>1</v>
      </c>
      <c r="E84" s="1">
        <v>104.5</v>
      </c>
      <c r="F84" s="1">
        <f>E84*D84</f>
        <v>104.5</v>
      </c>
      <c r="G84" t="str">
        <v>GCASH</v>
      </c>
      <c r="H84" s="2">
        <v>46166</v>
      </c>
      <c r="I84" t="str">
        <v>SM HYPERMARKET</v>
      </c>
    </row>
    <row r="85" ht="22.5" customHeight="1">
      <c r="A85" t="str">
        <v>Unsalted Butter (Anchor)</v>
      </c>
      <c r="B85">
        <v>200</v>
      </c>
      <c r="C85" t="str">
        <v>g</v>
      </c>
      <c r="D85">
        <v>3</v>
      </c>
      <c r="E85" s="1">
        <v>119</v>
      </c>
      <c r="F85" s="1">
        <f>E85*D85</f>
        <v>357</v>
      </c>
      <c r="G85" t="str">
        <v>GCASH</v>
      </c>
      <c r="H85" s="2">
        <v>46166</v>
      </c>
      <c r="I85" t="str">
        <v>SM HYPERMARKET</v>
      </c>
    </row>
    <row r="86" ht="22.5" customHeight="1">
      <c r="A86" t="str">
        <v>Jollycow</v>
      </c>
      <c r="B86">
        <v>1000</v>
      </c>
      <c r="C86" t="str">
        <v>ml</v>
      </c>
      <c r="D86">
        <v>4</v>
      </c>
      <c r="E86" s="1">
        <v>93.6</v>
      </c>
      <c r="F86" s="1">
        <f>E86*D86</f>
        <v>374.4</v>
      </c>
      <c r="G86" t="str">
        <v>GCASH</v>
      </c>
      <c r="H86" s="2">
        <v>46175</v>
      </c>
      <c r="I86" t="str">
        <v>GAISANO MACTAN ISLAND</v>
      </c>
    </row>
    <row r="87" ht="22.5" customHeight="1">
      <c r="A87" t="str">
        <v>Devondale</v>
      </c>
      <c r="B87">
        <v>1000</v>
      </c>
      <c r="C87" t="str">
        <v>ml</v>
      </c>
      <c r="D87">
        <v>6</v>
      </c>
      <c r="E87" s="1">
        <v>108.75</v>
      </c>
      <c r="F87" s="1">
        <f>E87*D87</f>
        <v>652.5</v>
      </c>
      <c r="G87" t="str">
        <v>GCASH</v>
      </c>
      <c r="H87" s="2">
        <v>46175</v>
      </c>
      <c r="I87" t="str">
        <v>ROBINSONS</v>
      </c>
    </row>
    <row r="88" ht="22.5" customHeight="1">
      <c r="A88" t="str">
        <v>Cowbell Condensed Milk</v>
      </c>
      <c r="B88">
        <v>374</v>
      </c>
      <c r="C88" t="str">
        <v>g</v>
      </c>
      <c r="D88">
        <v>5</v>
      </c>
      <c r="E88" s="1">
        <v>40</v>
      </c>
      <c r="F88" s="1">
        <f>D88*E88</f>
        <v>200</v>
      </c>
      <c r="G88" t="str">
        <v>GCASH</v>
      </c>
      <c r="H88" s="2">
        <v>46175</v>
      </c>
      <c r="I88" t="str">
        <v>SM HYPERMARKET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>
      <c r="A214" t="str">
        <v>Ice</v>
      </c>
      <c r="B214">
        <v>10000</v>
      </c>
      <c r="C214" t="str">
        <v>g</v>
      </c>
      <c r="D214">
        <v>2</v>
      </c>
      <c r="E214">
        <v>95</v>
      </c>
      <c r="F214">
        <v>190</v>
      </c>
      <c r="G214" t="str">
        <v>CASH</v>
      </c>
      <c r="H214">
        <v>46180</v>
      </c>
      <c r="I214" t="str">
        <v>ICEMAN</v>
      </c>
    </row>
    <row r="215">
      <c r="A215" t="str">
        <v>JollyCow</v>
      </c>
      <c r="B215">
        <v>1000</v>
      </c>
      <c r="C215" t="str">
        <v>ml</v>
      </c>
      <c r="D215">
        <v>3</v>
      </c>
      <c r="E215">
        <v>93.6</v>
      </c>
      <c r="F215">
        <v>280.79999999999995</v>
      </c>
      <c r="G215" t="str">
        <v>GCASH</v>
      </c>
      <c r="H215">
        <v>46180</v>
      </c>
      <c r="I215" t="str">
        <v>GAISANO MACTAN ISLAND</v>
      </c>
    </row>
    <row r="216">
      <c r="A216" t="str">
        <v>Oreo Crushed</v>
      </c>
      <c r="B216">
        <v>454</v>
      </c>
      <c r="C216" t="str">
        <v>g</v>
      </c>
      <c r="D216">
        <v>1</v>
      </c>
      <c r="E216">
        <v>210.5</v>
      </c>
      <c r="F216">
        <v>210.5</v>
      </c>
      <c r="G216" t="str">
        <v>GCASH</v>
      </c>
      <c r="H216">
        <v>46180</v>
      </c>
      <c r="I216" t="str">
        <v>ROBINSONS</v>
      </c>
    </row>
    <row r="217">
      <c r="A217" t="str">
        <v>All Purpose Cream (Nestle)</v>
      </c>
      <c r="B217">
        <v>500</v>
      </c>
      <c r="C217" t="str">
        <v>ml</v>
      </c>
      <c r="D217">
        <v>1</v>
      </c>
      <c r="E217">
        <v>127</v>
      </c>
      <c r="F217">
        <v>127</v>
      </c>
      <c r="G217" t="str">
        <v>GCASH</v>
      </c>
      <c r="H217">
        <v>46180</v>
      </c>
      <c r="I217" t="str">
        <v>SM HYPERMARKET</v>
      </c>
    </row>
  </sheetData>
  <autoFilter ref="$A$1:$Z$88"/>
  <ignoredErrors>
    <ignoredError numberStoredAsText="1" sqref="A1:I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cols>
    <col min="1" max="1" customWidth="1" width="39.78"/>
    <col min="2" max="2" customWidth="1" width="15.89"/>
    <col min="3" max="3" customWidth="1" width="13.89"/>
    <col min="6" max="6" customWidth="1" width="16.67"/>
    <col min="7" max="7" customWidth="1" width="19.89"/>
    <col min="8" max="8" customWidth="1" width="19.11"/>
  </cols>
  <sheetData>
    <row r="1" ht="22.5" customHeight="1">
      <c r="A1" t="str">
        <v>ITEMS</v>
      </c>
      <c r="B1" t="str">
        <v>CATEGORY</v>
      </c>
      <c r="C1" t="str">
        <v>STOCKS</v>
      </c>
      <c r="D1" t="str">
        <v>UNIT</v>
      </c>
      <c r="E1" t="str">
        <v>BOX_SIZE</v>
      </c>
      <c r="F1" t="str">
        <v>CONTAINER</v>
      </c>
      <c r="G1" t="str">
        <v>LAST_RESTOCK_DATE</v>
      </c>
      <c r="H1" t="str">
        <v>LAST_RESTOCK_QTY</v>
      </c>
    </row>
    <row r="2" ht="22.5" customHeight="1">
      <c r="A2" t="str">
        <v>JollyCow</v>
      </c>
      <c r="B2" t="str">
        <v>ingredients</v>
      </c>
      <c r="C2">
        <v>4300</v>
      </c>
      <c r="D2" t="str">
        <v>ml</v>
      </c>
      <c r="E2">
        <v>1000</v>
      </c>
      <c r="F2" t="str">
        <v>box</v>
      </c>
      <c r="G2" t="str">
        <v>Jun 7, 2026</v>
      </c>
      <c r="H2">
        <v>3000</v>
      </c>
    </row>
    <row r="3" ht="22.5" customHeight="1">
      <c r="A3" t="str">
        <v>Devondale</v>
      </c>
      <c r="B3" t="str">
        <v>ingredients</v>
      </c>
      <c r="C3">
        <v>3330</v>
      </c>
      <c r="D3" t="str">
        <v>ml</v>
      </c>
      <c r="E3">
        <v>1000</v>
      </c>
      <c r="F3" t="str">
        <v>box</v>
      </c>
      <c r="G3" t="str">
        <v>Jun 2, 2026</v>
      </c>
      <c r="H3">
        <v>6000</v>
      </c>
    </row>
    <row r="4" ht="22.5" customHeight="1">
      <c r="A4" t="str">
        <v>Sagada</v>
      </c>
      <c r="B4" t="str">
        <v>ingredients</v>
      </c>
      <c r="C4">
        <v>2902</v>
      </c>
      <c r="D4" t="str">
        <v>g</v>
      </c>
      <c r="E4">
        <v>500</v>
      </c>
      <c r="F4" t="str">
        <v>pack</v>
      </c>
      <c r="G4" t="str">
        <v>May 12, 2026</v>
      </c>
      <c r="H4">
        <v>2000</v>
      </c>
    </row>
    <row r="5" ht="22.5" customHeight="1">
      <c r="A5" t="str">
        <v>Ice</v>
      </c>
      <c r="B5" t="str">
        <v>ingredients</v>
      </c>
      <c r="C5">
        <v>20000</v>
      </c>
      <c r="D5" t="str">
        <v>g</v>
      </c>
      <c r="E5">
        <v>10000</v>
      </c>
      <c r="F5" t="str">
        <v>bag</v>
      </c>
      <c r="G5" t="str">
        <v>Jun 7, 2026</v>
      </c>
      <c r="H5">
        <v>20000</v>
      </c>
    </row>
    <row r="6" ht="22.5" customHeight="1">
      <c r="A6" t="str">
        <v>Vanilla Syrup</v>
      </c>
      <c r="B6" t="str">
        <v>ingredients</v>
      </c>
      <c r="C6">
        <v>1225</v>
      </c>
      <c r="D6" t="str">
        <v>ml</v>
      </c>
      <c r="E6">
        <v>750</v>
      </c>
      <c r="F6" t="str">
        <v>bottle</v>
      </c>
      <c r="G6" t="str">
        <v>May 22, 2026</v>
      </c>
      <c r="H6">
        <v>1500</v>
      </c>
    </row>
    <row r="7" ht="22.5" customHeight="1">
      <c r="A7" t="str">
        <v>Choco Syrup (Hershey)</v>
      </c>
      <c r="B7" t="str">
        <v>ingredients</v>
      </c>
      <c r="C7">
        <v>630</v>
      </c>
      <c r="D7" t="str">
        <v>ml</v>
      </c>
      <c r="E7">
        <v>623</v>
      </c>
      <c r="F7" t="str">
        <v>bottle</v>
      </c>
      <c r="G7" t="str">
        <v>Apr 30, 2026</v>
      </c>
      <c r="H7">
        <v>1360</v>
      </c>
    </row>
    <row r="8" ht="22.5" customHeight="1">
      <c r="A8" t="str">
        <v>Cocoa Powder (Hershey)</v>
      </c>
      <c r="B8" t="str">
        <v>ingredients</v>
      </c>
      <c r="C8">
        <v>140</v>
      </c>
      <c r="D8" t="str">
        <v>g</v>
      </c>
      <c r="E8">
        <v>226</v>
      </c>
      <c r="F8" t="str">
        <v>can</v>
      </c>
      <c r="G8" t="str">
        <v>May 17, 2026</v>
      </c>
      <c r="H8">
        <v>226</v>
      </c>
    </row>
    <row r="9" ht="22.5" customHeight="1">
      <c r="A9" t="str">
        <v>Caramel Sauce</v>
      </c>
      <c r="B9" t="str">
        <v>ingredients</v>
      </c>
      <c r="C9">
        <v>1730</v>
      </c>
      <c r="D9" t="str">
        <v>ml</v>
      </c>
      <c r="E9">
        <v>1890</v>
      </c>
      <c r="F9" t="str">
        <v>jar</v>
      </c>
      <c r="G9" t="str">
        <v>Mar 19, 2026</v>
      </c>
      <c r="H9">
        <v>1890</v>
      </c>
    </row>
    <row r="10" ht="22.5" customHeight="1">
      <c r="A10" t="str">
        <v>Condensed Milk</v>
      </c>
      <c r="B10" t="str">
        <v>ingredients</v>
      </c>
      <c r="C10">
        <v>1620</v>
      </c>
      <c r="D10" t="str">
        <v>ml</v>
      </c>
      <c r="E10">
        <v>374</v>
      </c>
      <c r="F10" t="str">
        <v>can</v>
      </c>
      <c r="G10" t="str">
        <v>Jun 2, 2026</v>
      </c>
      <c r="H10">
        <v>1870</v>
      </c>
    </row>
    <row r="11" ht="22.5" customHeight="1">
      <c r="A11" t="str">
        <v>Biscoff Spread</v>
      </c>
      <c r="B11" t="str">
        <v>ingredients</v>
      </c>
      <c r="C11">
        <v>220</v>
      </c>
      <c r="D11" t="str">
        <v>g</v>
      </c>
      <c r="E11">
        <v>400</v>
      </c>
      <c r="F11" t="str">
        <v>jar</v>
      </c>
      <c r="G11" t="str">
        <v>May 12, 2026</v>
      </c>
      <c r="H11">
        <v>800</v>
      </c>
    </row>
    <row r="12" ht="22.5" customHeight="1">
      <c r="A12" t="str">
        <v>Biscoff Biscuit</v>
      </c>
      <c r="B12" t="str">
        <v>ingredients</v>
      </c>
      <c r="C12">
        <v>198</v>
      </c>
      <c r="D12" t="str">
        <v>g</v>
      </c>
      <c r="E12">
        <v>200</v>
      </c>
      <c r="F12" t="str">
        <v>can</v>
      </c>
      <c r="G12" t="str">
        <v/>
      </c>
      <c r="H12" t="str">
        <v/>
      </c>
    </row>
    <row r="13" ht="22.5" customHeight="1">
      <c r="A13" t="str">
        <v>Oreo Crushed</v>
      </c>
      <c r="B13" t="str">
        <v>ingredients</v>
      </c>
      <c r="C13">
        <v>554</v>
      </c>
      <c r="D13" t="str">
        <v>g</v>
      </c>
      <c r="E13">
        <v>454</v>
      </c>
      <c r="F13" t="str">
        <v>can</v>
      </c>
      <c r="G13" t="str">
        <v>Jun 7, 2026</v>
      </c>
      <c r="H13">
        <v>454</v>
      </c>
    </row>
    <row r="14" ht="22.5" customHeight="1">
      <c r="A14" t="str">
        <v>Strawberry Puree</v>
      </c>
      <c r="B14" t="str">
        <v>ingredients</v>
      </c>
      <c r="C14">
        <v>765</v>
      </c>
      <c r="D14" t="str">
        <v>g</v>
      </c>
      <c r="E14">
        <v>3000</v>
      </c>
      <c r="F14" t="str">
        <v>jar</v>
      </c>
      <c r="G14" t="str">
        <v>Mar 25, 2026</v>
      </c>
      <c r="H14">
        <v>3000</v>
      </c>
    </row>
    <row r="15" ht="22.5" customHeight="1">
      <c r="A15" t="str">
        <v>Blueberry Puree</v>
      </c>
      <c r="B15" t="str">
        <v>ingredients</v>
      </c>
      <c r="C15">
        <v>1400</v>
      </c>
      <c r="D15" t="str">
        <v>g</v>
      </c>
      <c r="E15">
        <v>3000</v>
      </c>
      <c r="F15" t="str">
        <v>jar</v>
      </c>
      <c r="G15" t="str">
        <v>Mar 25, 2026</v>
      </c>
      <c r="H15">
        <v>3000</v>
      </c>
    </row>
    <row r="16" ht="22.5" customHeight="1">
      <c r="A16" t="str">
        <v>Matcha Powder</v>
      </c>
      <c r="B16" t="str">
        <v>ingredients</v>
      </c>
      <c r="C16">
        <v>0</v>
      </c>
      <c r="D16" t="str">
        <v>g</v>
      </c>
      <c r="E16">
        <v>45</v>
      </c>
      <c r="F16" t="str">
        <v>can</v>
      </c>
      <c r="G16" t="str">
        <v/>
      </c>
      <c r="H16" t="str">
        <v/>
      </c>
    </row>
    <row r="17" ht="22.5" customHeight="1">
      <c r="A17" t="str">
        <v>White Choco Sauce</v>
      </c>
      <c r="B17" t="str">
        <v>ingredients</v>
      </c>
      <c r="C17">
        <v>1120</v>
      </c>
      <c r="D17" t="str">
        <v>ml</v>
      </c>
      <c r="E17">
        <v>1890</v>
      </c>
      <c r="F17" t="str">
        <v>jar</v>
      </c>
      <c r="G17" t="str">
        <v/>
      </c>
      <c r="H17" t="str">
        <v/>
      </c>
    </row>
    <row r="18" ht="22.5" customHeight="1">
      <c r="A18" t="str">
        <v>Hazelnut Syrup</v>
      </c>
      <c r="B18" t="str">
        <v>ingredients</v>
      </c>
      <c r="C18">
        <v>1050</v>
      </c>
      <c r="D18" t="str">
        <v>ml</v>
      </c>
      <c r="E18">
        <v>750</v>
      </c>
      <c r="F18" t="str">
        <v>bottle</v>
      </c>
      <c r="G18" t="str">
        <v>Mar 19, 2026</v>
      </c>
      <c r="H18">
        <v>750</v>
      </c>
    </row>
    <row r="19" ht="22.5" customHeight="1">
      <c r="A19" t="str">
        <v>Brazil Santos</v>
      </c>
      <c r="B19" t="str">
        <v>ingredients</v>
      </c>
      <c r="C19">
        <v>646</v>
      </c>
      <c r="D19" t="str">
        <v>g</v>
      </c>
      <c r="E19">
        <v>500</v>
      </c>
      <c r="F19" t="str">
        <v>pack</v>
      </c>
      <c r="G19" t="str">
        <v>Mar 26, 2026</v>
      </c>
      <c r="H19">
        <v>1000</v>
      </c>
    </row>
    <row r="20" ht="22.5" customHeight="1">
      <c r="A20" t="str">
        <v>Fontana Orange Juice</v>
      </c>
      <c r="B20" t="str">
        <v>ingredients</v>
      </c>
      <c r="C20">
        <v>0</v>
      </c>
      <c r="D20" t="str">
        <v>ml</v>
      </c>
      <c r="E20">
        <v>1000</v>
      </c>
      <c r="F20" t="str">
        <v>box</v>
      </c>
      <c r="G20" t="str">
        <v>Apr 9, 2026</v>
      </c>
      <c r="H20">
        <v>1000</v>
      </c>
    </row>
    <row r="21" ht="22.5" customHeight="1">
      <c r="A21" t="str">
        <v>Mandarin Orange Fruit</v>
      </c>
      <c r="B21" t="str">
        <v>ingredients</v>
      </c>
      <c r="C21">
        <v>0</v>
      </c>
      <c r="D21" t="str">
        <v>pcs</v>
      </c>
      <c r="E21">
        <v>10</v>
      </c>
      <c r="F21" t="str">
        <v>pack</v>
      </c>
      <c r="G21" t="str">
        <v/>
      </c>
      <c r="H21" t="str">
        <v/>
      </c>
    </row>
    <row r="22" ht="22.5" customHeight="1">
      <c r="A22" t="str">
        <v>All Purpose Flour (CREAM)</v>
      </c>
      <c r="B22" t="str">
        <v>ingredients</v>
      </c>
      <c r="C22">
        <v>1380</v>
      </c>
      <c r="D22" t="str">
        <v>g</v>
      </c>
      <c r="E22">
        <v>2000</v>
      </c>
      <c r="F22" t="str">
        <v>box</v>
      </c>
      <c r="G22" t="str">
        <v>May 24, 2026</v>
      </c>
      <c r="H22">
        <v>2000</v>
      </c>
    </row>
    <row r="23" ht="22.5" customHeight="1">
      <c r="A23" t="str">
        <v>Baking Soda (Queen)</v>
      </c>
      <c r="B23" t="str">
        <v>ingredients</v>
      </c>
      <c r="C23">
        <v>220.3</v>
      </c>
      <c r="D23" t="str">
        <v>g</v>
      </c>
      <c r="E23">
        <v>250</v>
      </c>
      <c r="F23" t="str">
        <v>box</v>
      </c>
      <c r="G23" t="str">
        <v/>
      </c>
      <c r="H23" t="str">
        <v/>
      </c>
    </row>
    <row r="24" ht="22.5" customHeight="1">
      <c r="A24" t="str">
        <v>Baking Powder (Queen)</v>
      </c>
      <c r="B24" t="str">
        <v>ingredients</v>
      </c>
      <c r="C24">
        <v>299.7225433526653</v>
      </c>
      <c r="D24" t="str">
        <v>g</v>
      </c>
      <c r="E24">
        <v>200</v>
      </c>
      <c r="F24" t="str">
        <v>box</v>
      </c>
      <c r="G24" t="str">
        <v>May 24, 2026</v>
      </c>
      <c r="H24">
        <v>200</v>
      </c>
    </row>
    <row r="25" ht="22.5" customHeight="1">
      <c r="A25" t="str">
        <v>Unsalted Butter (Anchor)</v>
      </c>
      <c r="B25" t="str">
        <v>ingredients</v>
      </c>
      <c r="C25">
        <v>450.6936416238858</v>
      </c>
      <c r="D25" t="str">
        <v>g</v>
      </c>
      <c r="E25">
        <v>200</v>
      </c>
      <c r="F25" t="str">
        <v>pack</v>
      </c>
      <c r="G25" t="str">
        <v>May 24, 2026</v>
      </c>
      <c r="H25">
        <v>600</v>
      </c>
    </row>
    <row r="26" ht="22.5" customHeight="1">
      <c r="A26" t="str">
        <v>White Sugar</v>
      </c>
      <c r="B26" t="str">
        <v>ingredients</v>
      </c>
      <c r="C26">
        <v>1500.4071676332653</v>
      </c>
      <c r="D26" t="str">
        <v>g</v>
      </c>
      <c r="E26">
        <v>1000</v>
      </c>
      <c r="F26" t="str">
        <v>pack</v>
      </c>
      <c r="G26" t="str">
        <v>May 24, 2026</v>
      </c>
      <c r="H26">
        <v>1000</v>
      </c>
    </row>
    <row r="27" ht="22.5" customHeight="1">
      <c r="A27" t="str">
        <v>Brown Sugar</v>
      </c>
      <c r="B27" t="str">
        <v>ingredients</v>
      </c>
      <c r="C27">
        <v>800.3017341066123</v>
      </c>
      <c r="D27" t="str">
        <v>g</v>
      </c>
      <c r="E27">
        <v>1000</v>
      </c>
      <c r="F27" t="str">
        <v>pack</v>
      </c>
      <c r="G27" t="str">
        <v>Apr 9, 2026</v>
      </c>
      <c r="H27">
        <v>1000</v>
      </c>
    </row>
    <row r="28" ht="22.5" customHeight="1">
      <c r="A28" t="str">
        <v>Large Egg</v>
      </c>
      <c r="B28" t="str">
        <v>ingredients</v>
      </c>
      <c r="C28">
        <v>300.4071676332653</v>
      </c>
      <c r="D28" t="str">
        <v>g</v>
      </c>
      <c r="E28">
        <v>1500</v>
      </c>
      <c r="F28" t="str">
        <v>tray</v>
      </c>
      <c r="G28" t="str">
        <v/>
      </c>
      <c r="H28" t="str">
        <v/>
      </c>
    </row>
    <row r="29" ht="22.5" customHeight="1">
      <c r="A29" t="str">
        <v>Vanilla Extract</v>
      </c>
      <c r="B29" t="str">
        <v>ingredients</v>
      </c>
      <c r="C29">
        <v>60.016358381663274</v>
      </c>
      <c r="D29" t="str">
        <v>ml</v>
      </c>
      <c r="E29">
        <v>20</v>
      </c>
      <c r="F29" t="str">
        <v>bottle</v>
      </c>
      <c r="G29" t="str">
        <v>Apr 9, 2026</v>
      </c>
      <c r="H29">
        <v>60</v>
      </c>
    </row>
    <row r="30" ht="22.5" customHeight="1">
      <c r="A30" t="str">
        <v>Lemon Extract</v>
      </c>
      <c r="B30" t="str">
        <v>ingredients</v>
      </c>
      <c r="C30">
        <v>0</v>
      </c>
      <c r="D30" t="str">
        <v>ml</v>
      </c>
      <c r="E30">
        <v>20</v>
      </c>
      <c r="F30" t="str">
        <v>bottle</v>
      </c>
      <c r="G30" t="str">
        <v/>
      </c>
      <c r="H30" t="str">
        <v/>
      </c>
    </row>
    <row r="31" ht="22.5" customHeight="1">
      <c r="A31" t="str">
        <v>Lemon Fruit</v>
      </c>
      <c r="B31" t="str">
        <v>ingredients</v>
      </c>
      <c r="C31">
        <v>0</v>
      </c>
      <c r="D31" t="str">
        <v>pcs</v>
      </c>
      <c r="E31">
        <v>1</v>
      </c>
      <c r="F31" t="str">
        <v>pack</v>
      </c>
      <c r="G31" t="str">
        <v/>
      </c>
      <c r="H31" t="str">
        <v/>
      </c>
    </row>
    <row r="32" ht="22.5" customHeight="1">
      <c r="A32" t="str">
        <v>Choco Chips (Dutchee)</v>
      </c>
      <c r="B32" t="str">
        <v>ingredients</v>
      </c>
      <c r="C32">
        <v>0.31445086993885596</v>
      </c>
      <c r="D32" t="str">
        <v>g</v>
      </c>
      <c r="E32">
        <v>200</v>
      </c>
      <c r="F32" t="str">
        <v>pack</v>
      </c>
      <c r="G32" t="str">
        <v>Mar 20, 2026</v>
      </c>
      <c r="H32">
        <v>300</v>
      </c>
    </row>
    <row r="33" ht="22.5" customHeight="1">
      <c r="A33" t="str">
        <v>Choco Bar (Beryls)</v>
      </c>
      <c r="B33" t="str">
        <v>ingredients</v>
      </c>
      <c r="C33">
        <v>50.4071676332654</v>
      </c>
      <c r="D33" t="str">
        <v>g</v>
      </c>
      <c r="E33">
        <v>300</v>
      </c>
      <c r="F33" t="str">
        <v>bar</v>
      </c>
      <c r="G33" t="str">
        <v/>
      </c>
      <c r="H33" t="str">
        <v/>
      </c>
    </row>
    <row r="34" ht="22.5" customHeight="1">
      <c r="A34" t="str">
        <v>Iodized Seasalt</v>
      </c>
      <c r="B34" t="str">
        <v>ingredients</v>
      </c>
      <c r="C34">
        <v>210.25</v>
      </c>
      <c r="D34" t="str">
        <v>g</v>
      </c>
      <c r="E34">
        <v>250</v>
      </c>
      <c r="F34" t="str">
        <v>can</v>
      </c>
      <c r="G34" t="str">
        <v/>
      </c>
      <c r="H34" t="str">
        <v/>
      </c>
    </row>
    <row r="35" ht="22.5" customHeight="1">
      <c r="A35" t="str">
        <v>Rolled Oats (QUAKER)</v>
      </c>
      <c r="B35" t="str">
        <v>ingredients</v>
      </c>
      <c r="C35">
        <v>500</v>
      </c>
      <c r="D35" t="str">
        <v>g</v>
      </c>
      <c r="E35">
        <v>500</v>
      </c>
      <c r="F35" t="str">
        <v>pack</v>
      </c>
      <c r="G35" t="str">
        <v>May 24, 2026</v>
      </c>
      <c r="H35">
        <v>500</v>
      </c>
    </row>
    <row r="36" ht="22.5" customHeight="1">
      <c r="A36" t="str">
        <v>Cinnamon Powder (McCormick)</v>
      </c>
      <c r="B36" t="str">
        <v>ingredients</v>
      </c>
      <c r="C36">
        <v>25</v>
      </c>
      <c r="D36" t="str">
        <v>g</v>
      </c>
      <c r="E36">
        <v>30</v>
      </c>
      <c r="F36" t="str">
        <v>bottle</v>
      </c>
      <c r="G36" t="str">
        <v/>
      </c>
      <c r="H36" t="str">
        <v/>
      </c>
    </row>
    <row r="37" ht="22.5" customHeight="1">
      <c r="A37" t="str">
        <v>Raisins (Sevillla)</v>
      </c>
      <c r="B37" t="str">
        <v>ingredients</v>
      </c>
      <c r="C37">
        <v>320</v>
      </c>
      <c r="D37" t="str">
        <v>g</v>
      </c>
      <c r="E37">
        <v>200</v>
      </c>
      <c r="F37" t="str">
        <v>pack</v>
      </c>
      <c r="G37" t="str">
        <v>May 24, 2026</v>
      </c>
      <c r="H37">
        <v>200</v>
      </c>
    </row>
    <row r="38" ht="22.5" customHeight="1">
      <c r="A38" t="str">
        <v>All Purpose Cream (Nestle)</v>
      </c>
      <c r="B38" t="str">
        <v>ingredients</v>
      </c>
      <c r="C38">
        <v>785</v>
      </c>
      <c r="D38" t="str">
        <v>ml</v>
      </c>
      <c r="E38">
        <v>250</v>
      </c>
      <c r="F38" t="str">
        <v>box</v>
      </c>
      <c r="G38" t="str">
        <v>Jun 7, 2026</v>
      </c>
      <c r="H38">
        <v>500</v>
      </c>
    </row>
    <row r="39" ht="22.5" customHeight="1">
      <c r="A39" t="str">
        <v>Cream Cheese (Magnolia)</v>
      </c>
      <c r="B39" t="str">
        <v>ingredients</v>
      </c>
      <c r="C39">
        <v>225</v>
      </c>
      <c r="D39" t="str">
        <v>g</v>
      </c>
      <c r="E39">
        <v>225</v>
      </c>
      <c r="F39" t="str">
        <v>pack</v>
      </c>
      <c r="G39" t="str">
        <v>Mar 20, 2026</v>
      </c>
      <c r="H39">
        <v>225</v>
      </c>
    </row>
    <row r="40" ht="22.5" customHeight="1">
      <c r="A40" t="str">
        <v>Lady Finger (Broas)</v>
      </c>
      <c r="B40" t="str">
        <v>ingredients</v>
      </c>
      <c r="C40">
        <v>29</v>
      </c>
      <c r="D40" t="str">
        <v>pcs</v>
      </c>
      <c r="E40">
        <v>35</v>
      </c>
      <c r="F40" t="str">
        <v>jar</v>
      </c>
      <c r="G40" t="str">
        <v/>
      </c>
      <c r="H40" t="str">
        <v/>
      </c>
    </row>
    <row r="41" ht="22.5" customHeight="1">
      <c r="A41" t="str">
        <v>8oz paper cup</v>
      </c>
      <c r="B41" t="str">
        <v>packaging</v>
      </c>
      <c r="C41">
        <v>0</v>
      </c>
      <c r="D41" t="str">
        <v>pcs</v>
      </c>
      <c r="E41">
        <v>100</v>
      </c>
      <c r="F41" t="str">
        <v>pack</v>
      </c>
      <c r="G41" t="str">
        <v/>
      </c>
      <c r="H41" t="str">
        <v/>
      </c>
    </row>
    <row r="42" ht="22.5" customHeight="1">
      <c r="A42" t="str">
        <v>Plastic Lids - paper cup</v>
      </c>
      <c r="B42" t="str">
        <v>packaging</v>
      </c>
      <c r="C42">
        <v>0</v>
      </c>
      <c r="D42" t="str">
        <v>pcs</v>
      </c>
      <c r="E42">
        <v>100</v>
      </c>
      <c r="F42" t="str">
        <v>pack</v>
      </c>
      <c r="G42" t="str">
        <v/>
      </c>
      <c r="H42" t="str">
        <v/>
      </c>
    </row>
    <row r="43" ht="22.5" customHeight="1">
      <c r="A43" t="str">
        <v>12oz cups - 95mm</v>
      </c>
      <c r="B43" t="str">
        <v>packaging</v>
      </c>
      <c r="C43">
        <v>944</v>
      </c>
      <c r="D43" t="str">
        <v>pcs</v>
      </c>
      <c r="E43">
        <v>1000</v>
      </c>
      <c r="F43" t="str">
        <v>pack</v>
      </c>
      <c r="G43" t="str">
        <v>Apr 17, 2026</v>
      </c>
      <c r="H43">
        <v>1000</v>
      </c>
    </row>
    <row r="44" ht="22.5" customHeight="1">
      <c r="A44" t="str">
        <v>16oz cups - 95mm</v>
      </c>
      <c r="B44" t="str">
        <v>packaging</v>
      </c>
      <c r="C44">
        <v>951</v>
      </c>
      <c r="D44" t="str">
        <v>pcs</v>
      </c>
      <c r="E44">
        <v>1000</v>
      </c>
      <c r="F44" t="str">
        <v>pack</v>
      </c>
      <c r="G44" t="str">
        <v>Apr 17, 2026</v>
      </c>
      <c r="H44">
        <v>1000</v>
      </c>
    </row>
    <row r="45" ht="22.5" customHeight="1">
      <c r="A45" t="str">
        <v>Sip Lids - 95mm</v>
      </c>
      <c r="B45" t="str">
        <v>packaging</v>
      </c>
      <c r="C45">
        <v>915</v>
      </c>
      <c r="D45" t="str">
        <v>pcs</v>
      </c>
      <c r="E45">
        <v>1000</v>
      </c>
      <c r="F45" t="str">
        <v>pack</v>
      </c>
      <c r="G45" t="str">
        <v>Apr 17, 2026</v>
      </c>
      <c r="H45">
        <v>1000</v>
      </c>
    </row>
    <row r="46" ht="22.5" customHeight="1">
      <c r="A46" t="str">
        <v>Dome Lids - 95mm</v>
      </c>
      <c r="B46" t="str">
        <v>packaging</v>
      </c>
      <c r="C46">
        <v>33</v>
      </c>
      <c r="D46" t="str">
        <v>pcs</v>
      </c>
      <c r="E46">
        <v>1000</v>
      </c>
      <c r="F46" t="str">
        <v>pack</v>
      </c>
      <c r="G46" t="str">
        <v>Mar 20, 2026</v>
      </c>
      <c r="H46">
        <v>100</v>
      </c>
    </row>
    <row r="47" ht="22.5" customHeight="1">
      <c r="A47" t="str">
        <v>Flat Lids - 95mm</v>
      </c>
      <c r="B47" t="str">
        <v>packaging</v>
      </c>
      <c r="C47">
        <v>61</v>
      </c>
      <c r="D47" t="str">
        <v>pcs</v>
      </c>
      <c r="E47">
        <v>1000</v>
      </c>
      <c r="F47" t="str">
        <v>pack</v>
      </c>
      <c r="G47" t="str">
        <v>Mar 20, 2026</v>
      </c>
      <c r="H47">
        <v>100</v>
      </c>
    </row>
    <row r="48" ht="22.5" customHeight="1">
      <c r="A48" t="str">
        <v>21cm Thin Straws</v>
      </c>
      <c r="B48" t="str">
        <v>packaging</v>
      </c>
      <c r="C48">
        <v>194</v>
      </c>
      <c r="D48" t="str">
        <v>pcs</v>
      </c>
      <c r="E48">
        <v>100</v>
      </c>
      <c r="F48" t="str">
        <v>pack</v>
      </c>
      <c r="G48" t="str">
        <v>Apr 26, 2026</v>
      </c>
      <c r="H48">
        <v>200</v>
      </c>
    </row>
    <row r="49" ht="22.5" customHeight="1">
      <c r="A49" t="str">
        <v>21cm Bobba Straws</v>
      </c>
      <c r="B49" t="str">
        <v>packaging</v>
      </c>
      <c r="C49">
        <v>132</v>
      </c>
      <c r="D49" t="str">
        <v>pcs</v>
      </c>
      <c r="E49">
        <v>100</v>
      </c>
      <c r="F49" t="str">
        <v>pack</v>
      </c>
      <c r="G49" t="str">
        <v>Apr 26, 2026</v>
      </c>
      <c r="H49">
        <v>200</v>
      </c>
    </row>
    <row r="50" ht="22.5" customHeight="1">
      <c r="A50" t="str">
        <v>Double Plastic Bag</v>
      </c>
      <c r="B50" t="str">
        <v>packaging</v>
      </c>
      <c r="C50">
        <v>16</v>
      </c>
      <c r="D50" t="str">
        <v>pcs</v>
      </c>
      <c r="E50">
        <v>100</v>
      </c>
      <c r="F50" t="str">
        <v>pack</v>
      </c>
      <c r="G50" t="str">
        <v/>
      </c>
      <c r="H50" t="str">
        <v/>
      </c>
    </row>
    <row r="51" ht="22.5" customHeight="1">
      <c r="A51" t="str">
        <v>Single Plastic Bag</v>
      </c>
      <c r="B51" t="str">
        <v>packaging</v>
      </c>
      <c r="C51">
        <v>34</v>
      </c>
      <c r="D51" t="str">
        <v>pcs</v>
      </c>
      <c r="E51">
        <v>100</v>
      </c>
      <c r="F51" t="str">
        <v>pack</v>
      </c>
      <c r="G51" t="str">
        <v>Apr 26, 2026</v>
      </c>
      <c r="H51">
        <v>100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H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0"/>
  <sheetViews>
    <sheetView workbookViewId="0" rightToLeft="0"/>
  </sheetViews>
  <cols>
    <col min="1" max="1" customWidth="1" width="24.67"/>
    <col min="2" max="2" customWidth="1" width="27"/>
    <col min="3" max="3" customWidth="1" width="23.33"/>
    <col min="4" max="4" customWidth="1" width="10.67"/>
    <col min="5" max="5" customWidth="1" width="8.67"/>
    <col min="6" max="6" customWidth="1" width="8.67"/>
    <col min="7" max="7" customWidth="1" width="14.44"/>
    <col min="8" max="8" customWidth="1" width="14"/>
    <col min="9" max="9" customWidth="1" width="15.11"/>
    <col min="10" max="10" customWidth="1" width="14.67"/>
    <col min="11" max="11" customWidth="1" width="16.11"/>
    <col min="12" max="12" customWidth="1" width="15.67"/>
    <col min="13" max="13" customWidth="1" width="14.67"/>
    <col min="14" max="14" customWidth="1" width="12"/>
    <col min="15" max="15" customWidth="1" width="8.67"/>
    <col min="16" max="16" customWidth="1" width="14.67"/>
    <col min="17" max="17" customWidth="1" width="12"/>
    <col min="18" max="18" customWidth="1" width="8.67"/>
    <col min="19" max="19" customWidth="1" width="29.78"/>
    <col min="20" max="20" customWidth="1" width="33.22"/>
    <col min="21" max="21" customWidth="1" width="28.44"/>
  </cols>
  <sheetData>
    <row r="1">
      <c r="A1" t="str">
        <v>INGREDIENTS</v>
      </c>
      <c r="B1" t="str">
        <v>CATEGORY</v>
      </c>
      <c r="C1" t="str">
        <v>DRINK TYPE</v>
      </c>
      <c r="D1" t="str">
        <v>VOLUME</v>
      </c>
      <c r="E1" s="1" t="str">
        <v>UNIT</v>
      </c>
      <c r="F1" s="1" t="str">
        <v>PRICE</v>
      </c>
      <c r="G1" s="3" t="str">
        <v>8oz ICED / vol</v>
      </c>
      <c r="H1" s="3" t="str">
        <v>8oz HOT / vol</v>
      </c>
      <c r="I1" s="4" t="str">
        <v>8oz ICED / cup</v>
      </c>
      <c r="J1" s="4" t="str">
        <v>8oz HOT / cup</v>
      </c>
      <c r="K1" s="1" t="str">
        <v>8oz ICED / price</v>
      </c>
      <c r="L1" s="1" t="str">
        <v>8oz HOT / price</v>
      </c>
      <c r="M1" s="3" t="str">
        <v>12oz (volume)</v>
      </c>
      <c r="N1" s="4" t="str">
        <v>QTY CUPS</v>
      </c>
      <c r="O1" s="1" t="str">
        <v>PRICE</v>
      </c>
      <c r="P1" s="3" t="str">
        <v>16oz (volume)</v>
      </c>
      <c r="Q1" s="4" t="str">
        <v>QTY CUPS</v>
      </c>
      <c r="R1" s="1" t="str">
        <v>PRICE</v>
      </c>
      <c r="S1" t="str">
        <v>MASTER DOUGH (volume)</v>
      </c>
      <c r="T1" t="str">
        <v>MASTER DOUGH (production)</v>
      </c>
      <c r="U1" t="str">
        <v>MASTER DOUGH (price)</v>
      </c>
    </row>
    <row r="2">
      <c r="A2" t="str">
        <v>JollyCow</v>
      </c>
      <c r="B2" t="str">
        <v>MILK</v>
      </c>
      <c r="C2" t="str">
        <v>N/A</v>
      </c>
      <c r="D2">
        <f>1000</f>
        <v>1000</v>
      </c>
      <c r="E2" s="1" t="str">
        <v>ml</v>
      </c>
      <c r="F2" s="1">
        <v>93.6</v>
      </c>
      <c r="G2" s="3">
        <v>100</v>
      </c>
      <c r="H2" s="3">
        <v>205</v>
      </c>
      <c r="I2" s="4">
        <f>D2/G2</f>
        <v>10</v>
      </c>
      <c r="J2" s="4">
        <f>D2/H2</f>
        <v>4.87804878</v>
      </c>
      <c r="K2" s="1">
        <f>F2/I2</f>
        <v>9.36</v>
      </c>
      <c r="L2" s="1">
        <f>F2/J2</f>
        <v>19.188</v>
      </c>
      <c r="M2" s="3">
        <f>150</f>
        <v>150</v>
      </c>
      <c r="N2" s="4">
        <f>D2/M2</f>
        <v>6.666666667</v>
      </c>
      <c r="O2" s="1">
        <f>F2/N2</f>
        <v>14.04</v>
      </c>
      <c r="P2" s="3">
        <f>200</f>
        <v>200</v>
      </c>
      <c r="Q2" s="4">
        <f>D2/P2</f>
        <v>5</v>
      </c>
      <c r="R2" s="1">
        <f>F2/Q2</f>
        <v>18.72</v>
      </c>
      <c r="S2" s="3" t="str">
        <v>N/A</v>
      </c>
      <c r="T2" s="3" t="str">
        <v>N/A</v>
      </c>
      <c r="U2" t="str">
        <v>N/A</v>
      </c>
    </row>
    <row r="3" ht="15" customHeight="1">
      <c r="A3" t="str">
        <v>Devondale</v>
      </c>
      <c r="B3" t="str">
        <v>MILK</v>
      </c>
      <c r="C3" t="str">
        <v>N/A</v>
      </c>
      <c r="D3">
        <f>1000</f>
        <v>1000</v>
      </c>
      <c r="E3" s="1" t="str">
        <v>ml</v>
      </c>
      <c r="F3" s="1">
        <v>108.75</v>
      </c>
      <c r="G3" s="3" t="str">
        <v>N/A</v>
      </c>
      <c r="H3" s="3" t="str">
        <v>N/A</v>
      </c>
      <c r="I3" s="4" t="str">
        <v>N/A</v>
      </c>
      <c r="J3" s="4" t="str">
        <v>N/A</v>
      </c>
      <c r="K3" s="1" t="str">
        <v>N/A</v>
      </c>
      <c r="L3" s="1" t="str">
        <v>N/A</v>
      </c>
      <c r="M3" s="3">
        <v>150</v>
      </c>
      <c r="N3" s="4">
        <f>D3/M3</f>
        <v>6.666666667</v>
      </c>
      <c r="O3" s="1">
        <f>F3/N3</f>
        <v>16.3125</v>
      </c>
      <c r="P3" s="3">
        <v>200</v>
      </c>
      <c r="Q3" s="4">
        <f>D3/P3</f>
        <v>5</v>
      </c>
      <c r="R3" s="1">
        <f>F3/Q3</f>
        <v>21.75</v>
      </c>
      <c r="S3" s="3" t="str">
        <v>N/A</v>
      </c>
      <c r="T3" s="3" t="str">
        <v>N/A</v>
      </c>
      <c r="U3" t="str">
        <v>N/A</v>
      </c>
    </row>
    <row r="4">
      <c r="A4" t="str">
        <v>Sagada</v>
      </c>
      <c r="B4" t="str">
        <v>BEAN</v>
      </c>
      <c r="C4" t="str">
        <v>N/A</v>
      </c>
      <c r="D4">
        <f>1000</f>
        <v>1000</v>
      </c>
      <c r="E4" s="1" t="str">
        <v>g</v>
      </c>
      <c r="F4" s="1">
        <v>840</v>
      </c>
      <c r="G4" s="3">
        <v>12</v>
      </c>
      <c r="H4" s="3">
        <v>12</v>
      </c>
      <c r="I4" s="4">
        <f>D4/G4</f>
        <v>83.33333333</v>
      </c>
      <c r="J4" s="4">
        <f>D4/H4</f>
        <v>83.33333333</v>
      </c>
      <c r="K4" s="1">
        <f>F4/I4</f>
        <v>10.08</v>
      </c>
      <c r="L4" s="1">
        <f>F4/J4</f>
        <v>10.08</v>
      </c>
      <c r="M4" s="3">
        <v>12</v>
      </c>
      <c r="N4" s="4">
        <f>D4/M4</f>
        <v>83.33333333</v>
      </c>
      <c r="O4" s="1">
        <f>F4/N4</f>
        <v>10.08</v>
      </c>
      <c r="P4" s="3">
        <v>12</v>
      </c>
      <c r="Q4" s="4">
        <f>D4/P4</f>
        <v>83.33333333</v>
      </c>
      <c r="R4" s="1">
        <f>F4/Q4</f>
        <v>10.08</v>
      </c>
      <c r="S4" s="3" t="str">
        <v>N/A</v>
      </c>
      <c r="T4" s="3" t="str">
        <v>N/A</v>
      </c>
      <c r="U4" t="str">
        <v>N/A</v>
      </c>
    </row>
    <row r="5">
      <c r="A5" t="str">
        <v>Ice</v>
      </c>
      <c r="B5" t="str">
        <v>ICE</v>
      </c>
      <c r="C5" t="str">
        <v>N/A</v>
      </c>
      <c r="D5">
        <f>10000</f>
        <v>10000</v>
      </c>
      <c r="E5" s="1" t="str">
        <v>g</v>
      </c>
      <c r="F5" s="1">
        <v>95</v>
      </c>
      <c r="G5" s="3">
        <v>40</v>
      </c>
      <c r="H5" s="3">
        <v>0</v>
      </c>
      <c r="I5" s="4">
        <f>D5/G5</f>
        <v>250</v>
      </c>
      <c r="J5" s="4">
        <v>0</v>
      </c>
      <c r="K5" s="1">
        <f>F5/I5</f>
        <v>0.38</v>
      </c>
      <c r="L5" s="1">
        <v>0</v>
      </c>
      <c r="M5" s="3">
        <v>100</v>
      </c>
      <c r="N5" s="4">
        <f>D5/M5</f>
        <v>100</v>
      </c>
      <c r="O5" s="1">
        <f>F5/N5</f>
        <v>0.95</v>
      </c>
      <c r="P5" s="3">
        <v>150</v>
      </c>
      <c r="Q5" s="4">
        <f>D5/P5</f>
        <v>66.66666667</v>
      </c>
      <c r="R5" s="1">
        <f>F5/Q5</f>
        <v>1.425</v>
      </c>
      <c r="S5" s="3" t="str">
        <v>N/A</v>
      </c>
      <c r="T5" s="3" t="str">
        <v>N/A</v>
      </c>
      <c r="U5" t="str">
        <v>N/A</v>
      </c>
    </row>
    <row r="6" ht="14.25" customHeight="1">
      <c r="A6" t="str">
        <v>Vanilla Syrup</v>
      </c>
      <c r="B6" t="str">
        <v>DRINK_SPECIFIC</v>
      </c>
      <c r="C6" t="str">
        <v>Americano Sunset</v>
      </c>
      <c r="D6">
        <v>750</v>
      </c>
      <c r="E6" s="1" t="str">
        <v>ml</v>
      </c>
      <c r="F6" s="1">
        <v>550</v>
      </c>
      <c r="G6" s="3" t="str">
        <v>N/A</v>
      </c>
      <c r="H6" s="3" t="str">
        <v>N/A</v>
      </c>
      <c r="I6" s="4" t="str">
        <v>N/A</v>
      </c>
      <c r="J6" s="4" t="str">
        <v>N/A</v>
      </c>
      <c r="K6" s="1" t="str">
        <v>N/A</v>
      </c>
      <c r="L6" s="1" t="str">
        <v>N/A</v>
      </c>
      <c r="M6" s="3">
        <v>5</v>
      </c>
      <c r="N6" s="4">
        <f>D6/M6</f>
        <v>150</v>
      </c>
      <c r="O6" s="1">
        <f>F6/N6</f>
        <v>3.6667</v>
      </c>
      <c r="P6" s="3" t="str">
        <v>N/A</v>
      </c>
      <c r="Q6" s="4" t="str">
        <v>N/A</v>
      </c>
      <c r="R6" s="1" t="str">
        <v>N/A</v>
      </c>
      <c r="S6" s="3" t="str">
        <v>N/A</v>
      </c>
      <c r="T6" s="3" t="str">
        <v>N/A</v>
      </c>
      <c r="U6" t="str">
        <v>N/A</v>
      </c>
    </row>
    <row r="7">
      <c r="A7" t="str">
        <v>Vanilla Syrup</v>
      </c>
      <c r="B7" t="str">
        <v>DRINK_SPECIFIC</v>
      </c>
      <c r="C7" t="str">
        <v>Tiramisu Latte</v>
      </c>
      <c r="D7">
        <v>750</v>
      </c>
      <c r="E7" s="1" t="str">
        <v>ml</v>
      </c>
      <c r="F7" s="1">
        <v>550</v>
      </c>
      <c r="G7" s="3" t="str">
        <v>N/A</v>
      </c>
      <c r="H7" s="3" t="str">
        <v>N/A</v>
      </c>
      <c r="I7" s="4" t="str">
        <v>N/A</v>
      </c>
      <c r="J7" s="4" t="str">
        <v>N/A</v>
      </c>
      <c r="K7" s="1" t="str">
        <v>N/A</v>
      </c>
      <c r="L7" s="1" t="str">
        <v>N/A</v>
      </c>
      <c r="M7" s="3">
        <v>5</v>
      </c>
      <c r="N7" s="4">
        <f>D7/M7</f>
        <v>150</v>
      </c>
      <c r="O7" s="1">
        <f>F7/N7</f>
        <v>3.6667</v>
      </c>
      <c r="P7" s="3" t="str">
        <v>N/A</v>
      </c>
      <c r="Q7" s="4" t="str">
        <v>N/A</v>
      </c>
      <c r="R7" s="1" t="str">
        <v>N/A</v>
      </c>
      <c r="S7" s="3" t="str">
        <v>N/A</v>
      </c>
      <c r="T7" s="3" t="str">
        <v>N/A</v>
      </c>
      <c r="U7" t="str">
        <v>N/A</v>
      </c>
    </row>
    <row r="8">
      <c r="A8" t="str">
        <v>Vanilla Syrup</v>
      </c>
      <c r="B8" t="str">
        <v>DRINK_SPECIFIC</v>
      </c>
      <c r="C8" t="str">
        <v>Caramel Macchiato</v>
      </c>
      <c r="D8">
        <v>750</v>
      </c>
      <c r="E8" s="1" t="str">
        <v>ml</v>
      </c>
      <c r="F8" s="1">
        <v>550</v>
      </c>
      <c r="G8" s="3" t="str">
        <v>N/A</v>
      </c>
      <c r="H8" s="3" t="str">
        <v>N/A</v>
      </c>
      <c r="I8" s="4" t="str">
        <v>N/A</v>
      </c>
      <c r="J8" s="4" t="str">
        <v>N/A</v>
      </c>
      <c r="K8" s="1" t="str">
        <v>N/A</v>
      </c>
      <c r="L8" s="1" t="str">
        <v>N/A</v>
      </c>
      <c r="M8" s="3">
        <v>10</v>
      </c>
      <c r="N8" s="4">
        <f>D8/M8</f>
        <v>75</v>
      </c>
      <c r="O8" s="1">
        <f>F8/N8</f>
        <v>7.3333</v>
      </c>
      <c r="P8" s="3">
        <v>15</v>
      </c>
      <c r="Q8" s="4">
        <f>D8/P8</f>
        <v>50</v>
      </c>
      <c r="R8" s="1">
        <f>F8/Q8</f>
        <v>11</v>
      </c>
      <c r="S8" s="3" t="str">
        <v>N/A</v>
      </c>
      <c r="T8" s="3" t="str">
        <v>N/A</v>
      </c>
      <c r="U8" t="str">
        <v>N/A</v>
      </c>
    </row>
    <row r="9">
      <c r="A9" t="str">
        <v>Vanilla Syrup</v>
      </c>
      <c r="B9" t="str">
        <v>DRINK_SPECIFIC</v>
      </c>
      <c r="C9" t="str">
        <v>Strawberry Latte</v>
      </c>
      <c r="D9">
        <v>750</v>
      </c>
      <c r="E9" s="1" t="str">
        <v>ml</v>
      </c>
      <c r="F9" s="1">
        <v>550</v>
      </c>
      <c r="G9" s="3" t="str">
        <v>N/A</v>
      </c>
      <c r="H9" s="3" t="str">
        <v>N/A</v>
      </c>
      <c r="I9" s="4" t="str">
        <v>N/A</v>
      </c>
      <c r="J9" s="4" t="str">
        <v>N/A</v>
      </c>
      <c r="K9" s="1" t="str">
        <v>N/A</v>
      </c>
      <c r="L9" s="1" t="str">
        <v>N/A</v>
      </c>
      <c r="M9" s="3">
        <v>15</v>
      </c>
      <c r="N9" s="4">
        <f>D9/M9</f>
        <v>50</v>
      </c>
      <c r="O9" s="1">
        <f>F9/N9</f>
        <v>11</v>
      </c>
      <c r="P9" s="3">
        <v>20</v>
      </c>
      <c r="Q9" s="4">
        <f>D9/P9</f>
        <v>37.5</v>
      </c>
      <c r="R9" s="1">
        <f>F9/Q9</f>
        <v>14.6667</v>
      </c>
      <c r="S9" s="3" t="str">
        <v>N/A</v>
      </c>
      <c r="T9" s="3" t="str">
        <v>N/A</v>
      </c>
      <c r="U9" t="str">
        <v>N/A</v>
      </c>
    </row>
    <row r="10">
      <c r="A10" t="str">
        <v>Vanilla Syrup</v>
      </c>
      <c r="B10" t="str">
        <v>DRINK_SPECIFIC</v>
      </c>
      <c r="C10" t="str">
        <v>Matcha Latte</v>
      </c>
      <c r="D10">
        <v>750</v>
      </c>
      <c r="E10" s="1" t="str">
        <v>ml</v>
      </c>
      <c r="F10" s="1">
        <v>550</v>
      </c>
      <c r="G10" s="3" t="str">
        <v>N/A</v>
      </c>
      <c r="H10" s="3" t="str">
        <v>N/A</v>
      </c>
      <c r="I10" s="4" t="str">
        <v>N/A</v>
      </c>
      <c r="J10" s="4" t="str">
        <v>N/A</v>
      </c>
      <c r="K10" s="1" t="str">
        <v>N/A</v>
      </c>
      <c r="L10" s="1" t="str">
        <v>N/A</v>
      </c>
      <c r="M10" s="3">
        <v>3</v>
      </c>
      <c r="N10" s="4">
        <f>D10/M10</f>
        <v>250</v>
      </c>
      <c r="O10" s="1">
        <f>F10/N10</f>
        <v>2.2</v>
      </c>
      <c r="P10" s="3">
        <v>5</v>
      </c>
      <c r="Q10" s="4">
        <f>D10/P10</f>
        <v>150</v>
      </c>
      <c r="R10" s="1">
        <f>F10/Q10</f>
        <v>3.6667</v>
      </c>
      <c r="S10" s="3" t="str">
        <v>N/A</v>
      </c>
      <c r="T10" s="3" t="str">
        <v>N/A</v>
      </c>
      <c r="U10" t="str">
        <v>N/A</v>
      </c>
    </row>
    <row r="11">
      <c r="A11" t="str">
        <v>Vanilla Syrup</v>
      </c>
      <c r="B11" t="str">
        <v>DRINK_SPECIFIC</v>
      </c>
      <c r="C11" t="str">
        <v>Blueberry Latte</v>
      </c>
      <c r="D11">
        <v>750</v>
      </c>
      <c r="E11" s="1" t="str">
        <v>ml</v>
      </c>
      <c r="F11" s="1">
        <v>550</v>
      </c>
      <c r="G11" s="3" t="str">
        <v>N/A</v>
      </c>
      <c r="H11" s="3" t="str">
        <v>N/A</v>
      </c>
      <c r="I11" s="4" t="str">
        <v>N/A</v>
      </c>
      <c r="J11" s="4" t="str">
        <v>N/A</v>
      </c>
      <c r="K11" s="1" t="str">
        <v>N/A</v>
      </c>
      <c r="L11" s="1" t="str">
        <v>N/A</v>
      </c>
      <c r="M11" s="3">
        <v>10</v>
      </c>
      <c r="N11" s="4">
        <f>D11/M11</f>
        <v>75</v>
      </c>
      <c r="O11" s="1">
        <f>F11/N11</f>
        <v>7.3333</v>
      </c>
      <c r="P11" s="3">
        <v>15</v>
      </c>
      <c r="Q11" s="4">
        <f>D11/P11</f>
        <v>50</v>
      </c>
      <c r="R11" s="1">
        <f>F11/Q11</f>
        <v>11</v>
      </c>
      <c r="S11" s="3" t="str">
        <v>N/A</v>
      </c>
      <c r="T11" s="3" t="str">
        <v>N/A</v>
      </c>
      <c r="U11" t="str">
        <v>N/A</v>
      </c>
    </row>
    <row r="12">
      <c r="A12" t="str">
        <v>Vanilla Syrup</v>
      </c>
      <c r="B12" t="str">
        <v>DRINK_SPECIFIC</v>
      </c>
      <c r="C12" t="str">
        <v>Strawberry Choco Latte</v>
      </c>
      <c r="D12">
        <v>750</v>
      </c>
      <c r="E12" s="1" t="str">
        <v>ml</v>
      </c>
      <c r="F12" s="1">
        <v>550</v>
      </c>
      <c r="G12" s="3" t="str">
        <v>N/A</v>
      </c>
      <c r="H12" s="3" t="str">
        <v>N/A</v>
      </c>
      <c r="I12" s="4" t="str">
        <v>N/A</v>
      </c>
      <c r="J12" s="4" t="str">
        <v>N/A</v>
      </c>
      <c r="K12" s="1" t="str">
        <v>N/A</v>
      </c>
      <c r="L12" s="1" t="str">
        <v>N/A</v>
      </c>
      <c r="M12" s="3">
        <v>10</v>
      </c>
      <c r="N12" s="4">
        <f>D12/M12</f>
        <v>75</v>
      </c>
      <c r="O12" s="1">
        <f>F12/N12</f>
        <v>7.3333</v>
      </c>
      <c r="P12" s="3">
        <v>10</v>
      </c>
      <c r="Q12" s="4">
        <f>D12/P12</f>
        <v>75</v>
      </c>
      <c r="R12" s="1">
        <f>F12/Q12</f>
        <v>7.3333</v>
      </c>
      <c r="S12" s="3" t="str">
        <v>N/A</v>
      </c>
      <c r="T12" s="3" t="str">
        <v>N/A</v>
      </c>
      <c r="U12" t="str">
        <v>N/A</v>
      </c>
    </row>
    <row r="13">
      <c r="A13" t="str">
        <v>Choco Sauce (Torani)</v>
      </c>
      <c r="B13" t="str">
        <v>DRINK_SPECIFIC</v>
      </c>
      <c r="C13" t="str">
        <v>Double Mocha Cream</v>
      </c>
      <c r="D13">
        <v>495</v>
      </c>
      <c r="E13" s="1" t="str">
        <v>ml</v>
      </c>
      <c r="F13" s="1">
        <v>499</v>
      </c>
      <c r="G13" s="3" t="str">
        <v>N/A</v>
      </c>
      <c r="H13" s="3" t="str">
        <v>N/A</v>
      </c>
      <c r="I13" s="4" t="str">
        <v>N/A</v>
      </c>
      <c r="J13" s="4" t="str">
        <v>N/A</v>
      </c>
      <c r="K13" s="1" t="str">
        <v>N/A</v>
      </c>
      <c r="L13" s="1" t="str">
        <v>N/A</v>
      </c>
      <c r="M13" s="3">
        <v>0</v>
      </c>
      <c r="N13" s="4">
        <v>0</v>
      </c>
      <c r="O13" s="1">
        <v>0</v>
      </c>
      <c r="P13" s="3">
        <v>0</v>
      </c>
      <c r="Q13" s="4">
        <v>0</v>
      </c>
      <c r="R13" s="1">
        <v>0</v>
      </c>
      <c r="S13" s="3" t="str">
        <v>N/A</v>
      </c>
      <c r="T13" s="3" t="str">
        <v>N/A</v>
      </c>
      <c r="U13" t="str">
        <v>N/A</v>
      </c>
    </row>
    <row r="14">
      <c r="A14" t="str">
        <v>Choco Syrup (Hershey)</v>
      </c>
      <c r="B14" t="str">
        <v>DRINK_SPECIFIC</v>
      </c>
      <c r="C14" t="str">
        <v>Double Mocha Cream</v>
      </c>
      <c r="D14">
        <v>623</v>
      </c>
      <c r="E14" s="1" t="str">
        <v>ml</v>
      </c>
      <c r="F14" s="1">
        <v>150.2529</v>
      </c>
      <c r="G14" s="3" t="str">
        <v>N/A</v>
      </c>
      <c r="H14" s="3" t="str">
        <v>N/A</v>
      </c>
      <c r="I14" s="4" t="str">
        <v>N/A</v>
      </c>
      <c r="J14" s="4" t="str">
        <v>N/A</v>
      </c>
      <c r="K14" s="1" t="str">
        <v>N/A</v>
      </c>
      <c r="L14" s="1" t="str">
        <v>N/A</v>
      </c>
      <c r="M14" s="3">
        <v>35</v>
      </c>
      <c r="N14" s="4">
        <f>D14/M14</f>
        <v>17.8</v>
      </c>
      <c r="O14" s="1">
        <f>F14/N14</f>
        <v>8.4412</v>
      </c>
      <c r="P14" s="3">
        <v>45</v>
      </c>
      <c r="Q14" s="4">
        <f>D14/P14</f>
        <v>13.84444444</v>
      </c>
      <c r="R14" s="1">
        <f>F14/Q14</f>
        <v>10.8529</v>
      </c>
      <c r="S14" s="3" t="str">
        <v>N/A</v>
      </c>
      <c r="T14" s="3" t="str">
        <v>N/A</v>
      </c>
      <c r="U14" t="str">
        <v>N/A</v>
      </c>
    </row>
    <row r="15">
      <c r="A15" t="str">
        <v>Choco Syrup (Hershey)</v>
      </c>
      <c r="B15" t="str">
        <v>DRINK_SPECIFIC</v>
      </c>
      <c r="C15" t="str">
        <v>Cacao Latte</v>
      </c>
      <c r="D15">
        <v>623</v>
      </c>
      <c r="E15" s="1" t="str">
        <v>ml</v>
      </c>
      <c r="F15" s="1">
        <v>150.2529</v>
      </c>
      <c r="G15" s="3" t="str">
        <v>N/A</v>
      </c>
      <c r="H15" s="3" t="str">
        <v>N/A</v>
      </c>
      <c r="I15" s="4" t="str">
        <v>N/A</v>
      </c>
      <c r="J15" s="4" t="str">
        <v>N/A</v>
      </c>
      <c r="K15" s="1" t="str">
        <v>N/A</v>
      </c>
      <c r="L15" s="1" t="str">
        <v>N/A</v>
      </c>
      <c r="M15" s="3">
        <v>35</v>
      </c>
      <c r="N15" s="4">
        <f>D15/M15</f>
        <v>17.8</v>
      </c>
      <c r="O15" s="1">
        <f>F15/N15</f>
        <v>8.4412</v>
      </c>
      <c r="P15" s="3">
        <v>45</v>
      </c>
      <c r="Q15" s="4">
        <f>D15/P15</f>
        <v>13.84444444</v>
      </c>
      <c r="R15" s="1">
        <f>F15/Q15</f>
        <v>10.8529</v>
      </c>
      <c r="S15" s="3" t="str">
        <v>N/A</v>
      </c>
      <c r="T15" s="3" t="str">
        <v>N/A</v>
      </c>
      <c r="U15" t="str">
        <v>N/A</v>
      </c>
    </row>
    <row r="16">
      <c r="A16" t="str">
        <v>Choco Syrup (Hershey)</v>
      </c>
      <c r="B16" t="str">
        <v>DRINK_SPECIFIC</v>
      </c>
      <c r="C16" t="str">
        <v>Strawberry Choco Latte</v>
      </c>
      <c r="D16">
        <v>623</v>
      </c>
      <c r="E16" s="1" t="str">
        <v>ml</v>
      </c>
      <c r="F16" s="1">
        <v>150.2529</v>
      </c>
      <c r="G16" s="3" t="str">
        <v>N/A</v>
      </c>
      <c r="H16" s="3" t="str">
        <v>N/A</v>
      </c>
      <c r="I16" s="4" t="str">
        <v>N/A</v>
      </c>
      <c r="J16" s="4" t="str">
        <v>N/A</v>
      </c>
      <c r="K16" s="1" t="str">
        <v>N/A</v>
      </c>
      <c r="L16" s="1" t="str">
        <v>N/A</v>
      </c>
      <c r="M16" s="3">
        <v>10</v>
      </c>
      <c r="N16" s="4">
        <f>D16/M16</f>
        <v>62.3</v>
      </c>
      <c r="O16" s="1">
        <f>F16/N16</f>
        <v>2.4118</v>
      </c>
      <c r="P16" s="3">
        <v>20</v>
      </c>
      <c r="Q16" s="4">
        <f>D16/P16</f>
        <v>31.15</v>
      </c>
      <c r="R16" s="1">
        <f>F16/Q16</f>
        <v>4.8235</v>
      </c>
      <c r="S16" s="3" t="str">
        <v>N/A</v>
      </c>
      <c r="T16" s="3" t="str">
        <v>N/A</v>
      </c>
      <c r="U16" t="str">
        <v>N/A</v>
      </c>
    </row>
    <row r="17">
      <c r="A17" t="str">
        <v>Cocoa Powder (Hershey)</v>
      </c>
      <c r="B17" t="str">
        <v>DRINK_SPECIFIC</v>
      </c>
      <c r="C17" t="str">
        <v>Strawberry Choco Latte</v>
      </c>
      <c r="D17">
        <v>226</v>
      </c>
      <c r="E17" s="1" t="str">
        <v>g</v>
      </c>
      <c r="F17" s="1">
        <v>344</v>
      </c>
      <c r="G17" s="3" t="str">
        <v>N/A</v>
      </c>
      <c r="H17" s="3" t="str">
        <v>N/A</v>
      </c>
      <c r="I17" s="4" t="str">
        <v>N/A</v>
      </c>
      <c r="J17" s="4" t="str">
        <v>N/A</v>
      </c>
      <c r="K17" s="1" t="str">
        <v>N/A</v>
      </c>
      <c r="L17" s="1" t="str">
        <v>N/A</v>
      </c>
      <c r="M17" s="3">
        <v>10</v>
      </c>
      <c r="N17" s="4">
        <f>D17/M17</f>
        <v>22.6</v>
      </c>
      <c r="O17" s="1">
        <f>F17/N17</f>
        <v>15.2212</v>
      </c>
      <c r="P17" s="3">
        <v>10</v>
      </c>
      <c r="Q17" s="4">
        <f>D17/P17</f>
        <v>22.6</v>
      </c>
      <c r="R17" s="1">
        <f>F17/Q17</f>
        <v>15.2212</v>
      </c>
      <c r="S17" s="3" t="str">
        <v>N/A</v>
      </c>
      <c r="T17" s="3" t="str">
        <v>N/A</v>
      </c>
      <c r="U17" t="str">
        <v>N/A</v>
      </c>
    </row>
    <row r="18">
      <c r="A18" t="str">
        <v>Cocoa Powder (Hershey)</v>
      </c>
      <c r="B18" t="str">
        <v>DRINK_SPECIFIC</v>
      </c>
      <c r="C18" t="str">
        <v>Cacao Latte</v>
      </c>
      <c r="D18">
        <v>226</v>
      </c>
      <c r="E18" s="1" t="str">
        <v>g</v>
      </c>
      <c r="F18" s="1">
        <v>344</v>
      </c>
      <c r="G18" s="3" t="str">
        <v>N/A</v>
      </c>
      <c r="H18" s="3" t="str">
        <v>N/A</v>
      </c>
      <c r="I18" s="4" t="str">
        <v>N/A</v>
      </c>
      <c r="J18" s="4" t="str">
        <v>N/A</v>
      </c>
      <c r="K18" s="1" t="str">
        <v>N/A</v>
      </c>
      <c r="L18" s="1" t="str">
        <v>N/A</v>
      </c>
      <c r="M18" s="3">
        <v>10</v>
      </c>
      <c r="N18" s="4">
        <f>D18/M18</f>
        <v>22.6</v>
      </c>
      <c r="O18" s="1">
        <f>F18/N18</f>
        <v>15.2212</v>
      </c>
      <c r="P18" s="3">
        <v>10</v>
      </c>
      <c r="Q18" s="4">
        <f>D18/P18</f>
        <v>22.6</v>
      </c>
      <c r="R18" s="1">
        <f>F18/Q18</f>
        <v>15.2212</v>
      </c>
      <c r="S18" s="3" t="str">
        <v>N/A</v>
      </c>
      <c r="T18" s="3" t="str">
        <v>N/A</v>
      </c>
      <c r="U18" t="str">
        <v>N/A</v>
      </c>
    </row>
    <row r="19">
      <c r="A19" t="str">
        <v>Caramel Sauce</v>
      </c>
      <c r="B19" t="str">
        <v>DRINK_SPECIFIC</v>
      </c>
      <c r="C19" t="str">
        <v>Caramel Macchiato</v>
      </c>
      <c r="D19">
        <v>468</v>
      </c>
      <c r="E19" s="1" t="str">
        <v>ml</v>
      </c>
      <c r="F19" s="1">
        <v>314.4762</v>
      </c>
      <c r="G19" s="3" t="str">
        <v>N/A</v>
      </c>
      <c r="H19" s="3" t="str">
        <v>N/A</v>
      </c>
      <c r="I19" s="4" t="str">
        <v>N/A</v>
      </c>
      <c r="J19" s="4" t="str">
        <v>N/A</v>
      </c>
      <c r="K19" s="1" t="str">
        <v>N/A</v>
      </c>
      <c r="L19" s="1" t="str">
        <v>N/A</v>
      </c>
      <c r="M19" s="3">
        <v>20</v>
      </c>
      <c r="N19" s="4">
        <f>D19/M19</f>
        <v>23.4</v>
      </c>
      <c r="O19" s="1">
        <f>F19/N19</f>
        <v>13.4392</v>
      </c>
      <c r="P19" s="3">
        <v>30</v>
      </c>
      <c r="Q19" s="4">
        <f>D19/P19</f>
        <v>15.6</v>
      </c>
      <c r="R19" s="1">
        <f>F19/Q19</f>
        <v>20.1587</v>
      </c>
      <c r="S19" s="3" t="str">
        <v>N/A</v>
      </c>
      <c r="T19" s="3" t="str">
        <v>N/A</v>
      </c>
      <c r="U19" t="str">
        <v>N/A</v>
      </c>
    </row>
    <row r="20">
      <c r="A20" t="str">
        <v>Condensed Milk</v>
      </c>
      <c r="B20" t="str">
        <v>DRINK_SPECIFIC</v>
      </c>
      <c r="C20" t="str">
        <v>Memento Latte</v>
      </c>
      <c r="D20">
        <v>374</v>
      </c>
      <c r="E20" s="1" t="str">
        <v>ml</v>
      </c>
      <c r="F20" s="1">
        <v>40</v>
      </c>
      <c r="G20" s="3" t="str">
        <v>N/A</v>
      </c>
      <c r="H20" s="3" t="str">
        <v>N/A</v>
      </c>
      <c r="I20" s="4" t="str">
        <v>N/A</v>
      </c>
      <c r="J20" s="4" t="str">
        <v>N/A</v>
      </c>
      <c r="K20" s="1" t="str">
        <v>N/A</v>
      </c>
      <c r="L20" s="1" t="str">
        <v>N/A</v>
      </c>
      <c r="M20" s="3">
        <v>20</v>
      </c>
      <c r="N20" s="4">
        <f>D20/M20</f>
        <v>18.7</v>
      </c>
      <c r="O20" s="1">
        <f>F20/N20</f>
        <v>2.139</v>
      </c>
      <c r="P20" s="3">
        <v>35</v>
      </c>
      <c r="Q20" s="4">
        <f>D20/P20</f>
        <v>10.68571429</v>
      </c>
      <c r="R20" s="1">
        <f>F20/Q20</f>
        <v>3.7433</v>
      </c>
      <c r="S20" s="3" t="str">
        <v>N/A</v>
      </c>
      <c r="T20" s="3" t="str">
        <v>N/A</v>
      </c>
      <c r="U20" t="str">
        <v>N/A</v>
      </c>
    </row>
    <row r="21" ht="15.75" customHeight="1">
      <c r="A21" t="str">
        <v>Condensed Milk</v>
      </c>
      <c r="B21" t="str">
        <v>DRINK_SPECIFIC</v>
      </c>
      <c r="C21" t="str">
        <v>Spanish Latte</v>
      </c>
      <c r="D21">
        <v>374</v>
      </c>
      <c r="E21" s="1" t="str">
        <v>ml</v>
      </c>
      <c r="F21" s="1">
        <v>40</v>
      </c>
      <c r="G21" s="3" t="str">
        <v>N/A</v>
      </c>
      <c r="H21" s="3" t="str">
        <v>N/A</v>
      </c>
      <c r="I21" s="4" t="str">
        <v>N/A</v>
      </c>
      <c r="J21" s="4" t="str">
        <v>N/A</v>
      </c>
      <c r="K21" s="1" t="str">
        <v>N/A</v>
      </c>
      <c r="L21" s="1" t="str">
        <v>N/A</v>
      </c>
      <c r="M21" s="3">
        <v>20</v>
      </c>
      <c r="N21" s="4">
        <f>D21/M21</f>
        <v>18.7</v>
      </c>
      <c r="O21" s="1">
        <f>F21/N21</f>
        <v>2.139</v>
      </c>
      <c r="P21" s="3">
        <v>35</v>
      </c>
      <c r="Q21" s="4">
        <f>D21/P21</f>
        <v>10.68571429</v>
      </c>
      <c r="R21" s="1">
        <f>F21/Q21</f>
        <v>3.7433</v>
      </c>
      <c r="S21" s="3" t="str">
        <v>N/A</v>
      </c>
      <c r="T21" s="3" t="str">
        <v>N/A</v>
      </c>
      <c r="U21" t="str">
        <v>N/A</v>
      </c>
    </row>
    <row r="22" ht="15.75" customHeight="1">
      <c r="A22" t="str">
        <v>Condensed Milk</v>
      </c>
      <c r="B22" t="str">
        <v>DRINK_SPECIFIC</v>
      </c>
      <c r="C22" t="str">
        <v>Matcha Latte</v>
      </c>
      <c r="D22">
        <v>374</v>
      </c>
      <c r="E22" s="1" t="str">
        <v>ml</v>
      </c>
      <c r="F22" s="1">
        <v>40</v>
      </c>
      <c r="G22" s="3" t="str">
        <v>N/A</v>
      </c>
      <c r="H22" s="3" t="str">
        <v>N/A</v>
      </c>
      <c r="I22" s="4" t="str">
        <v>N/A</v>
      </c>
      <c r="J22" s="4" t="str">
        <v>N/A</v>
      </c>
      <c r="K22" s="1" t="str">
        <v>N/A</v>
      </c>
      <c r="L22" s="1" t="str">
        <v>N/A</v>
      </c>
      <c r="M22" s="3">
        <v>15</v>
      </c>
      <c r="N22" s="4">
        <f>D22/M22</f>
        <v>24.93333333</v>
      </c>
      <c r="O22" s="1">
        <f>F22/N22</f>
        <v>1.6043</v>
      </c>
      <c r="P22" s="3">
        <v>20</v>
      </c>
      <c r="Q22" s="4">
        <f>D22/P22</f>
        <v>18.7</v>
      </c>
      <c r="R22" s="5">
        <f>F22/Q22</f>
        <v>2.139</v>
      </c>
      <c r="S22" s="3" t="str">
        <v>N/A</v>
      </c>
      <c r="T22" s="3" t="str">
        <v>N/A</v>
      </c>
      <c r="U22" t="str">
        <v>N/A</v>
      </c>
    </row>
    <row r="23" ht="15.75" customHeight="1">
      <c r="A23" t="str">
        <v>Biscoff Spread</v>
      </c>
      <c r="B23" t="str">
        <v>DRINK_SPECIFIC</v>
      </c>
      <c r="C23" t="str">
        <v>Biscoff Cream</v>
      </c>
      <c r="D23">
        <v>400</v>
      </c>
      <c r="E23" s="1" t="str">
        <v>g</v>
      </c>
      <c r="F23" s="1">
        <v>419.5</v>
      </c>
      <c r="G23" s="3" t="str">
        <v>N/A</v>
      </c>
      <c r="H23" s="3" t="str">
        <v>N/A</v>
      </c>
      <c r="I23" s="4" t="str">
        <v>N/A</v>
      </c>
      <c r="J23" s="4" t="str">
        <v>N/A</v>
      </c>
      <c r="K23" s="1" t="str">
        <v>N/A</v>
      </c>
      <c r="L23" s="1" t="str">
        <v>N/A</v>
      </c>
      <c r="M23" s="3">
        <v>30</v>
      </c>
      <c r="N23" s="4">
        <f>D23/M23</f>
        <v>13.33333333</v>
      </c>
      <c r="O23" s="1">
        <f>F23/N23</f>
        <v>31.4625</v>
      </c>
      <c r="P23" s="3">
        <v>40</v>
      </c>
      <c r="Q23" s="4">
        <f>D23/P23</f>
        <v>10</v>
      </c>
      <c r="R23" s="1">
        <f>F23/Q23</f>
        <v>41.95</v>
      </c>
      <c r="S23" s="3" t="str">
        <v>N/A</v>
      </c>
      <c r="T23" s="3" t="str">
        <v>N/A</v>
      </c>
      <c r="U23" t="str">
        <v>N/A</v>
      </c>
    </row>
    <row r="24" ht="15.75" customHeight="1">
      <c r="A24" t="str">
        <v>Biscoff Biscuit</v>
      </c>
      <c r="B24" t="str">
        <v>DRINK_SPECIFIC</v>
      </c>
      <c r="C24" t="str">
        <v>Biscoff Cream</v>
      </c>
      <c r="D24">
        <v>25</v>
      </c>
      <c r="E24" s="1" t="str">
        <v>pcs</v>
      </c>
      <c r="F24" s="1">
        <v>171</v>
      </c>
      <c r="G24" s="3" t="str">
        <v>N/A</v>
      </c>
      <c r="H24" s="3" t="str">
        <v>N/A</v>
      </c>
      <c r="I24" s="4" t="str">
        <v>N/A</v>
      </c>
      <c r="J24" s="4" t="str">
        <v>N/A</v>
      </c>
      <c r="K24" s="1" t="str">
        <v>N/A</v>
      </c>
      <c r="L24" s="1" t="str">
        <v>N/A</v>
      </c>
      <c r="M24" s="3">
        <v>1</v>
      </c>
      <c r="N24" s="4">
        <f>D24/M24</f>
        <v>25</v>
      </c>
      <c r="O24" s="1">
        <f>F24/N24</f>
        <v>6.84</v>
      </c>
      <c r="P24" s="3">
        <v>1</v>
      </c>
      <c r="Q24" s="4">
        <f>D24/P24</f>
        <v>25</v>
      </c>
      <c r="R24" s="1">
        <f>F24/Q24</f>
        <v>6.84</v>
      </c>
      <c r="S24" s="3" t="str">
        <v>N/A</v>
      </c>
      <c r="T24" s="3" t="str">
        <v>N/A</v>
      </c>
      <c r="U24" t="str">
        <v>N/A</v>
      </c>
    </row>
    <row r="25" ht="15.75" customHeight="1">
      <c r="A25" t="str">
        <v>Oreo Crushed</v>
      </c>
      <c r="B25" t="str">
        <v>DRINK_SPECIFIC</v>
      </c>
      <c r="C25" t="str">
        <v>Oreo Kohi Latte</v>
      </c>
      <c r="D25">
        <v>454</v>
      </c>
      <c r="E25" s="1" t="str">
        <v>g</v>
      </c>
      <c r="F25" s="1">
        <v>210.5</v>
      </c>
      <c r="G25" s="3" t="str">
        <v>N/A</v>
      </c>
      <c r="H25" s="3" t="str">
        <v>N/A</v>
      </c>
      <c r="I25" s="4" t="str">
        <v>N/A</v>
      </c>
      <c r="J25" s="4" t="str">
        <v>N/A</v>
      </c>
      <c r="K25" s="1" t="str">
        <v>N/A</v>
      </c>
      <c r="L25" s="1" t="str">
        <v>N/A</v>
      </c>
      <c r="M25" s="3">
        <v>30</v>
      </c>
      <c r="N25" s="4">
        <f>D25/M25</f>
        <v>15.13333333</v>
      </c>
      <c r="O25" s="1">
        <f>F25/N25</f>
        <v>13.9097</v>
      </c>
      <c r="P25" s="3">
        <v>40</v>
      </c>
      <c r="Q25" s="4">
        <f>D25/P25</f>
        <v>11.35</v>
      </c>
      <c r="R25" s="1">
        <f>F25/Q25</f>
        <v>18.5463</v>
      </c>
      <c r="S25" s="3" t="str">
        <v>N/A</v>
      </c>
      <c r="T25" s="3" t="str">
        <v>N/A</v>
      </c>
      <c r="U25" t="str">
        <v>N/A</v>
      </c>
    </row>
    <row r="26" ht="15.75" customHeight="1">
      <c r="A26" t="str">
        <v>Strawberry Puree</v>
      </c>
      <c r="B26" t="str">
        <v>DRINK_SPECIFIC</v>
      </c>
      <c r="C26" t="str">
        <v>Strawberry Choco Latte</v>
      </c>
      <c r="D26">
        <v>3000</v>
      </c>
      <c r="E26" s="1" t="str">
        <v>g</v>
      </c>
      <c r="F26" s="1">
        <v>378</v>
      </c>
      <c r="G26" s="3" t="str">
        <v>N/A</v>
      </c>
      <c r="H26" s="3" t="str">
        <v>N/A</v>
      </c>
      <c r="I26" s="4" t="str">
        <v>N/A</v>
      </c>
      <c r="J26" s="4" t="str">
        <v>N/A</v>
      </c>
      <c r="K26" s="1" t="str">
        <v>N/A</v>
      </c>
      <c r="L26" s="1" t="str">
        <v>N/A</v>
      </c>
      <c r="M26" s="3">
        <v>45</v>
      </c>
      <c r="N26" s="4">
        <f>D26/M26</f>
        <v>66.66666667</v>
      </c>
      <c r="O26" s="1">
        <f>F26/N26</f>
        <v>5.67</v>
      </c>
      <c r="P26" s="3">
        <v>50</v>
      </c>
      <c r="Q26" s="4">
        <f>D26/P26</f>
        <v>60</v>
      </c>
      <c r="R26" s="1">
        <f>F26/Q26</f>
        <v>6.3</v>
      </c>
      <c r="S26" s="3" t="str">
        <v>N/A</v>
      </c>
      <c r="T26" s="3" t="str">
        <v>N/A</v>
      </c>
      <c r="U26" t="str">
        <v>N/A</v>
      </c>
    </row>
    <row r="27" ht="15.75" customHeight="1">
      <c r="A27" t="str">
        <v>Strawberry Puree</v>
      </c>
      <c r="B27" t="str">
        <v>DRINK_SPECIFIC</v>
      </c>
      <c r="C27" t="str">
        <v>Strawberry Latte</v>
      </c>
      <c r="D27">
        <v>3000</v>
      </c>
      <c r="E27" s="1" t="str">
        <v>g</v>
      </c>
      <c r="F27" s="1">
        <v>378</v>
      </c>
      <c r="G27" s="3" t="str">
        <v>N/A</v>
      </c>
      <c r="H27" s="3" t="str">
        <v>N/A</v>
      </c>
      <c r="I27" s="4" t="str">
        <v>N/A</v>
      </c>
      <c r="J27" s="4" t="str">
        <v>N/A</v>
      </c>
      <c r="K27" s="1" t="str">
        <v>N/A</v>
      </c>
      <c r="L27" s="1" t="str">
        <v>N/A</v>
      </c>
      <c r="M27" s="3">
        <v>55</v>
      </c>
      <c r="N27" s="4">
        <f>D27/M27</f>
        <v>54.54545455</v>
      </c>
      <c r="O27" s="1">
        <f>F27/N27</f>
        <v>6.93</v>
      </c>
      <c r="P27" s="3">
        <v>65</v>
      </c>
      <c r="Q27" s="4">
        <f>D27/P27</f>
        <v>46.15384615</v>
      </c>
      <c r="R27" s="1">
        <f>F27/Q27</f>
        <v>8.19</v>
      </c>
      <c r="S27" s="3" t="str">
        <v>N/A</v>
      </c>
      <c r="T27" s="3" t="str">
        <v>N/A</v>
      </c>
      <c r="U27" t="str">
        <v>N/A</v>
      </c>
    </row>
    <row r="28" ht="15.75" customHeight="1">
      <c r="A28" t="str">
        <v>Blueberry Puree</v>
      </c>
      <c r="B28" t="str">
        <v>DRINK_SPECIFIC</v>
      </c>
      <c r="C28" t="str">
        <v>Blueberry Latte</v>
      </c>
      <c r="D28">
        <v>3000</v>
      </c>
      <c r="E28" s="1" t="str">
        <v>g</v>
      </c>
      <c r="F28" s="1">
        <v>378</v>
      </c>
      <c r="G28" s="3" t="str">
        <v>N/A</v>
      </c>
      <c r="H28" s="3" t="str">
        <v>N/A</v>
      </c>
      <c r="I28" s="4" t="str">
        <v>N/A</v>
      </c>
      <c r="J28" s="4" t="str">
        <v>N/A</v>
      </c>
      <c r="K28" s="1" t="str">
        <v>N/A</v>
      </c>
      <c r="L28" s="1" t="str">
        <v>N/A</v>
      </c>
      <c r="M28" s="3">
        <v>40</v>
      </c>
      <c r="N28" s="4">
        <f>D28/M28</f>
        <v>75</v>
      </c>
      <c r="O28" s="1">
        <f>F28/N28</f>
        <v>5.04</v>
      </c>
      <c r="P28" s="3">
        <v>50</v>
      </c>
      <c r="Q28" s="4">
        <f>D28/P28</f>
        <v>60</v>
      </c>
      <c r="R28" s="1">
        <f>F28/Q28</f>
        <v>6.3</v>
      </c>
      <c r="S28" s="3" t="str">
        <v>N/A</v>
      </c>
      <c r="T28" s="3" t="str">
        <v>N/A</v>
      </c>
      <c r="U28" t="str">
        <v>N/A</v>
      </c>
    </row>
    <row r="29" ht="15.75" customHeight="1">
      <c r="A29" t="str">
        <v>Matcha Powder</v>
      </c>
      <c r="B29" t="str">
        <v>DRINK_SPECIFIC</v>
      </c>
      <c r="C29" t="str">
        <v>Matcha Latte</v>
      </c>
      <c r="D29">
        <v>45</v>
      </c>
      <c r="E29" s="1" t="str">
        <v>g</v>
      </c>
      <c r="F29" s="1">
        <v>339</v>
      </c>
      <c r="G29" s="3" t="str">
        <v>N/A</v>
      </c>
      <c r="H29" s="3" t="str">
        <v>N/A</v>
      </c>
      <c r="I29" s="4" t="str">
        <v>N/A</v>
      </c>
      <c r="J29" s="4" t="str">
        <v>N/A</v>
      </c>
      <c r="K29" s="1" t="str">
        <v>N/A</v>
      </c>
      <c r="L29" s="1" t="str">
        <v>N/A</v>
      </c>
      <c r="M29" s="3">
        <v>5</v>
      </c>
      <c r="N29" s="4">
        <f>D29/M29</f>
        <v>9</v>
      </c>
      <c r="O29" s="1">
        <f>F29/N29</f>
        <v>37.66666667</v>
      </c>
      <c r="P29" s="3">
        <v>7</v>
      </c>
      <c r="Q29" s="4">
        <f>D29/P29</f>
        <v>6.428571429</v>
      </c>
      <c r="R29" s="5">
        <f>F29/Q29</f>
        <v>52.73333333</v>
      </c>
      <c r="S29" s="3" t="str">
        <v>N/A</v>
      </c>
      <c r="T29" s="3" t="str">
        <v>N/A</v>
      </c>
      <c r="U29" t="str">
        <v>N/A</v>
      </c>
    </row>
    <row r="30" ht="15.75" customHeight="1">
      <c r="A30" t="str">
        <v>White Choco Sauce</v>
      </c>
      <c r="B30" t="str">
        <v>DRINK_SPECIFIC</v>
      </c>
      <c r="C30" t="str">
        <v>White Mocha Latte</v>
      </c>
      <c r="D30">
        <v>1890</v>
      </c>
      <c r="E30" s="1" t="str">
        <v>ml</v>
      </c>
      <c r="F30" s="1">
        <v>1532</v>
      </c>
      <c r="G30" s="3" t="str">
        <v>N/A</v>
      </c>
      <c r="H30" s="3" t="str">
        <v>N/A</v>
      </c>
      <c r="I30" s="4" t="str">
        <v>N/A</v>
      </c>
      <c r="J30" s="4" t="str">
        <v>N/A</v>
      </c>
      <c r="K30" s="1" t="str">
        <v>N/A</v>
      </c>
      <c r="L30" s="1" t="str">
        <v>N/A</v>
      </c>
      <c r="M30" s="3">
        <v>25</v>
      </c>
      <c r="N30" s="4">
        <f>D30/M30</f>
        <v>75.6</v>
      </c>
      <c r="O30" s="1">
        <f>F30/N30</f>
        <v>20.26455026</v>
      </c>
      <c r="P30" s="3">
        <v>40</v>
      </c>
      <c r="Q30" s="4">
        <f>D30/P30</f>
        <v>47.25</v>
      </c>
      <c r="R30" s="1">
        <f>F30/Q30</f>
        <v>32.42328042</v>
      </c>
      <c r="S30" s="3" t="str">
        <v>N/A</v>
      </c>
      <c r="T30" s="3" t="str">
        <v>N/A</v>
      </c>
      <c r="U30" t="str">
        <v>N/A</v>
      </c>
    </row>
    <row r="31" ht="15" customHeight="1">
      <c r="A31" t="str">
        <v>Hazelnut Syrup</v>
      </c>
      <c r="B31" t="str">
        <v>DRINK_SPECIFIC</v>
      </c>
      <c r="C31" t="str">
        <v>Tiramisu Latte</v>
      </c>
      <c r="D31">
        <v>750</v>
      </c>
      <c r="E31" s="1" t="str">
        <v>ml</v>
      </c>
      <c r="F31" s="1">
        <v>550</v>
      </c>
      <c r="G31" s="3" t="str">
        <v>N/A</v>
      </c>
      <c r="H31" s="3" t="str">
        <v>N/A</v>
      </c>
      <c r="I31" s="4" t="str">
        <v>N/A</v>
      </c>
      <c r="J31" s="4" t="str">
        <v>N/A</v>
      </c>
      <c r="K31" s="1" t="str">
        <v>N/A</v>
      </c>
      <c r="L31" s="1" t="str">
        <v>N/A</v>
      </c>
      <c r="M31" s="3">
        <v>15</v>
      </c>
      <c r="N31" s="4">
        <f>D31/M31</f>
        <v>50</v>
      </c>
      <c r="O31" s="1">
        <f>F31/N31</f>
        <v>11</v>
      </c>
      <c r="P31" s="3" t="str">
        <v>N/A</v>
      </c>
      <c r="Q31" s="4" t="str">
        <v>N/A</v>
      </c>
      <c r="R31" s="5" t="str">
        <v>N/A</v>
      </c>
      <c r="S31" s="3" t="str">
        <v>N/A</v>
      </c>
      <c r="T31" s="3" t="str">
        <v>N/A</v>
      </c>
      <c r="U31" t="str">
        <v>N/A</v>
      </c>
    </row>
    <row r="32" ht="15" customHeight="1">
      <c r="A32" t="str">
        <v>Hazelnut Syrup</v>
      </c>
      <c r="B32" t="str">
        <v>DRINK_SPECIFIC</v>
      </c>
      <c r="C32" t="str">
        <v>Hazelnut Latte</v>
      </c>
      <c r="D32">
        <v>750</v>
      </c>
      <c r="E32" s="1" t="str">
        <v>ml</v>
      </c>
      <c r="F32" s="1">
        <v>550</v>
      </c>
      <c r="G32" s="3" t="str">
        <v>N/A</v>
      </c>
      <c r="H32" s="3" t="str">
        <v>N/A</v>
      </c>
      <c r="I32" s="4" t="str">
        <v>N/A</v>
      </c>
      <c r="J32" s="4" t="str">
        <v>N/A</v>
      </c>
      <c r="K32" s="1" t="str">
        <v>N/A</v>
      </c>
      <c r="L32" s="1" t="str">
        <v>N/A</v>
      </c>
      <c r="M32" s="3">
        <v>20</v>
      </c>
      <c r="N32" s="4">
        <f>D32/M32</f>
        <v>37.5</v>
      </c>
      <c r="O32" s="1">
        <f>F32/N32</f>
        <v>14.6667</v>
      </c>
      <c r="P32" s="3">
        <v>35</v>
      </c>
      <c r="Q32" s="4">
        <f>D32/P32</f>
        <v>21.42857143</v>
      </c>
      <c r="R32" s="1">
        <f>F32/Q32</f>
        <v>25.6667</v>
      </c>
      <c r="S32" s="3" t="str">
        <v>N/A</v>
      </c>
      <c r="T32" s="3" t="str">
        <v>N/A</v>
      </c>
      <c r="U32" t="str">
        <v>N/A</v>
      </c>
    </row>
    <row r="33" ht="15.75" customHeight="1">
      <c r="A33" t="str">
        <v>Brazil Santos</v>
      </c>
      <c r="B33" t="str">
        <v>BEAN</v>
      </c>
      <c r="C33" t="str">
        <v>N/A</v>
      </c>
      <c r="D33">
        <f>500</f>
        <v>500</v>
      </c>
      <c r="E33" s="1" t="str">
        <v>g</v>
      </c>
      <c r="F33" s="1">
        <v>562.5</v>
      </c>
      <c r="G33" s="3">
        <v>5.5</v>
      </c>
      <c r="H33" s="3">
        <v>5.5</v>
      </c>
      <c r="I33" s="4">
        <f>D33/G33</f>
        <v>90.90909091</v>
      </c>
      <c r="J33" s="4">
        <f>D33/H33</f>
        <v>90.90909091</v>
      </c>
      <c r="K33" s="1">
        <f>F33/I33</f>
        <v>6.1875</v>
      </c>
      <c r="L33" s="1">
        <f>F33/J33</f>
        <v>6.1875</v>
      </c>
      <c r="M33" s="3">
        <v>5.5</v>
      </c>
      <c r="N33" s="4">
        <f>D33/M33</f>
        <v>90.90909091</v>
      </c>
      <c r="O33" s="1">
        <f>F33/N33</f>
        <v>6.1875</v>
      </c>
      <c r="P33" s="3">
        <v>5.5</v>
      </c>
      <c r="Q33" s="4">
        <f>D33/P33</f>
        <v>90.90909091</v>
      </c>
      <c r="R33" s="1">
        <f>F33/Q33</f>
        <v>6.1875</v>
      </c>
      <c r="S33" s="3" t="str">
        <v>N/A</v>
      </c>
      <c r="T33" s="3" t="str">
        <v>N/A</v>
      </c>
      <c r="U33" t="str">
        <v>N/A</v>
      </c>
    </row>
    <row r="34" ht="15.75" customHeight="1">
      <c r="A34" t="str">
        <v>Fontana Orange Juice</v>
      </c>
      <c r="B34" t="str">
        <v>DRINK_SPECIFIC</v>
      </c>
      <c r="C34" t="str">
        <v>Americano Sunset</v>
      </c>
      <c r="D34">
        <v>1000</v>
      </c>
      <c r="E34" s="1" t="str">
        <v>ml</v>
      </c>
      <c r="F34" s="1">
        <v>107.95</v>
      </c>
      <c r="G34" s="3" t="str">
        <v>N/A</v>
      </c>
      <c r="H34" s="3" t="str">
        <v>N/A</v>
      </c>
      <c r="I34" s="4" t="str">
        <v>N/A</v>
      </c>
      <c r="J34" s="4" t="str">
        <v>N/A</v>
      </c>
      <c r="K34" s="1" t="str">
        <v>N/A</v>
      </c>
      <c r="L34" s="1" t="str">
        <v>N/A</v>
      </c>
      <c r="M34" s="3">
        <v>120</v>
      </c>
      <c r="N34" s="4">
        <f>D34/M34</f>
        <v>8.333333333</v>
      </c>
      <c r="O34" s="1">
        <f>F34/N34</f>
        <v>12.954</v>
      </c>
      <c r="P34" s="3" t="str">
        <v>N/A</v>
      </c>
      <c r="Q34" s="4" t="str">
        <v>N/A</v>
      </c>
      <c r="R34" s="5" t="str">
        <v>N/A</v>
      </c>
      <c r="S34" s="3" t="str">
        <v>N/A</v>
      </c>
      <c r="T34" s="3" t="str">
        <v>N/A</v>
      </c>
      <c r="U34" t="str">
        <v>N/A</v>
      </c>
    </row>
    <row r="35" ht="15.75" customHeight="1">
      <c r="A35" t="str">
        <v>Mandarin Orange Fruit</v>
      </c>
      <c r="B35" t="str">
        <v>DRINK_SPECIFIC</v>
      </c>
      <c r="C35" t="str">
        <v>Americano Sunset</v>
      </c>
      <c r="D35">
        <v>1</v>
      </c>
      <c r="E35" s="1" t="str">
        <v>pcs</v>
      </c>
      <c r="F35" s="1">
        <v>20</v>
      </c>
      <c r="G35" s="3" t="str">
        <v>N/A</v>
      </c>
      <c r="H35" s="3" t="str">
        <v>N/A</v>
      </c>
      <c r="I35" s="4" t="str">
        <v>N/A</v>
      </c>
      <c r="J35" s="4" t="str">
        <v>N/A</v>
      </c>
      <c r="K35" s="1" t="str">
        <v>N/A</v>
      </c>
      <c r="L35" s="1" t="str">
        <v>N/A</v>
      </c>
      <c r="M35" s="3">
        <v>0.1</v>
      </c>
      <c r="N35" s="4">
        <f>D35/M35</f>
        <v>10</v>
      </c>
      <c r="O35" s="1">
        <f>F35/N35</f>
        <v>2</v>
      </c>
      <c r="P35" s="3" t="str">
        <v>N/A</v>
      </c>
      <c r="Q35" s="4" t="str">
        <v>N/A</v>
      </c>
      <c r="R35" s="5" t="str">
        <v>N/A</v>
      </c>
      <c r="S35" s="3" t="str">
        <v>N/A</v>
      </c>
      <c r="T35" s="3" t="str">
        <v>N/A</v>
      </c>
      <c r="U35" t="str">
        <v>N/A</v>
      </c>
    </row>
    <row r="36" ht="15.75" customHeight="1">
      <c r="A36" t="str">
        <v>All Purpose Flour (CREAM)</v>
      </c>
      <c r="B36" t="str">
        <v>BAKING</v>
      </c>
      <c r="C36" t="str">
        <v>N/A</v>
      </c>
      <c r="D36">
        <v>2000</v>
      </c>
      <c r="E36" s="1" t="str">
        <v>g</v>
      </c>
      <c r="F36" s="1">
        <v>224.25</v>
      </c>
      <c r="G36" s="3" t="str">
        <v>N/A</v>
      </c>
      <c r="H36" s="3" t="str">
        <v>N/A</v>
      </c>
      <c r="I36" s="4" t="str">
        <v>N/A</v>
      </c>
      <c r="J36" s="4" t="str">
        <v>N/A</v>
      </c>
      <c r="K36" s="1" t="str">
        <v>N/A</v>
      </c>
      <c r="L36" s="1" t="str">
        <v>N/A</v>
      </c>
      <c r="M36" s="3" t="str">
        <v>N/A</v>
      </c>
      <c r="N36" s="3" t="str">
        <v>N/A</v>
      </c>
      <c r="O36" s="1" t="str">
        <v>N/A</v>
      </c>
      <c r="P36" s="3" t="str">
        <v>N/A</v>
      </c>
      <c r="Q36" s="4" t="str">
        <v>N/A</v>
      </c>
      <c r="R36" s="5" t="str">
        <v>N/A</v>
      </c>
      <c r="S36" s="3">
        <v>220</v>
      </c>
      <c r="T36" s="3">
        <f>D36/S36</f>
        <v>9.090909091</v>
      </c>
      <c r="U36" s="1">
        <f>F36/T36</f>
        <v>24.6675</v>
      </c>
    </row>
    <row r="37" ht="15.75" customHeight="1">
      <c r="A37" t="str">
        <v>Baking Soda (Queen)</v>
      </c>
      <c r="B37" t="str">
        <v>COOKIE_SPECIFIC</v>
      </c>
      <c r="C37" t="str">
        <v>Lemon Curd Cookie</v>
      </c>
      <c r="D37">
        <v>250</v>
      </c>
      <c r="E37" s="1" t="str">
        <v>g</v>
      </c>
      <c r="F37" s="1">
        <v>38</v>
      </c>
      <c r="G37" s="3" t="str">
        <v>N/A</v>
      </c>
      <c r="H37" s="3" t="str">
        <v>N/A</v>
      </c>
      <c r="I37" s="4" t="str">
        <v>N/A</v>
      </c>
      <c r="J37" s="4" t="str">
        <v>N/A</v>
      </c>
      <c r="K37" s="1" t="str">
        <v>N/A</v>
      </c>
      <c r="L37" s="1" t="str">
        <v>N/A</v>
      </c>
      <c r="M37" s="3" t="str">
        <v>N/A</v>
      </c>
      <c r="N37" s="3" t="str">
        <v>N/A</v>
      </c>
      <c r="O37" s="1" t="str">
        <v>N/A</v>
      </c>
      <c r="P37" s="3" t="str">
        <v>N/A</v>
      </c>
      <c r="Q37" s="4" t="str">
        <v>N/A</v>
      </c>
      <c r="R37" s="5" t="str">
        <v>N/A</v>
      </c>
      <c r="S37" s="3">
        <v>3</v>
      </c>
      <c r="T37" s="3">
        <f>D37/S37</f>
        <v>83.33333333</v>
      </c>
      <c r="U37" s="1">
        <f>F37/T37</f>
        <v>0.456</v>
      </c>
    </row>
    <row r="38" ht="15.75" customHeight="1">
      <c r="A38" t="str">
        <v>Baking Powder (Queen)</v>
      </c>
      <c r="B38" t="str">
        <v>COOKIE_SPECIFIC</v>
      </c>
      <c r="C38" t="str">
        <v>Lemon Curd Cookie</v>
      </c>
      <c r="D38">
        <v>200</v>
      </c>
      <c r="E38" s="1" t="str">
        <v>g</v>
      </c>
      <c r="F38" s="1">
        <v>59</v>
      </c>
      <c r="G38" s="3" t="str">
        <v>N/A</v>
      </c>
      <c r="H38" s="3" t="str">
        <v>N/A</v>
      </c>
      <c r="I38" s="4" t="str">
        <v>N/A</v>
      </c>
      <c r="J38" s="4" t="str">
        <v>N/A</v>
      </c>
      <c r="K38" s="1" t="str">
        <v>N/A</v>
      </c>
      <c r="L38" s="1" t="str">
        <v>N/A</v>
      </c>
      <c r="M38" s="3" t="str">
        <v>N/A</v>
      </c>
      <c r="N38" s="3" t="str">
        <v>N/A</v>
      </c>
      <c r="O38" s="1" t="str">
        <v>N/A</v>
      </c>
      <c r="P38" s="3" t="str">
        <v>N/A</v>
      </c>
      <c r="Q38" s="4" t="str">
        <v>N/A</v>
      </c>
      <c r="R38" s="5" t="str">
        <v>N/A</v>
      </c>
      <c r="S38" s="3">
        <v>2</v>
      </c>
      <c r="T38" s="3">
        <f>D38/S38</f>
        <v>100</v>
      </c>
      <c r="U38" s="1">
        <f>F38/T38</f>
        <v>0.59</v>
      </c>
    </row>
    <row r="39" ht="15.75" customHeight="1">
      <c r="A39" t="str">
        <v>Baking Powder (Queen)</v>
      </c>
      <c r="B39" t="str">
        <v>COOKIE_SPECIFIC</v>
      </c>
      <c r="C39" t="str">
        <v>Oat Raisin Cookie</v>
      </c>
      <c r="D39">
        <v>200</v>
      </c>
      <c r="E39" s="1" t="str">
        <v>g</v>
      </c>
      <c r="F39" s="1">
        <v>59</v>
      </c>
      <c r="G39" s="3" t="str">
        <v>N/A</v>
      </c>
      <c r="H39" s="3" t="str">
        <v>N/A</v>
      </c>
      <c r="I39" s="4" t="str">
        <v>N/A</v>
      </c>
      <c r="J39" s="4" t="str">
        <v>N/A</v>
      </c>
      <c r="K39" s="1" t="str">
        <v>N/A</v>
      </c>
      <c r="L39" s="1" t="str">
        <v>N/A</v>
      </c>
      <c r="M39" s="3" t="str">
        <v>N/A</v>
      </c>
      <c r="N39" s="3" t="str">
        <v>N/A</v>
      </c>
      <c r="O39" s="1" t="str">
        <v>N/A</v>
      </c>
      <c r="P39" s="3" t="str">
        <v>N/A</v>
      </c>
      <c r="Q39" s="4" t="str">
        <v>N/A</v>
      </c>
      <c r="R39" s="5" t="str">
        <v>N/A</v>
      </c>
      <c r="S39" s="3">
        <v>4</v>
      </c>
      <c r="T39" s="3">
        <f>D39/S39</f>
        <v>50</v>
      </c>
      <c r="U39" s="1">
        <f>F39/T39</f>
        <v>1.18</v>
      </c>
    </row>
    <row r="40" ht="15.75" customHeight="1">
      <c r="A40" t="str">
        <v>Baking Powder (Queen)</v>
      </c>
      <c r="B40" t="str">
        <v>COOKIE_SPECIFIC</v>
      </c>
      <c r="C40" t="str">
        <v>Choco Chip Cookie</v>
      </c>
      <c r="D40">
        <v>200</v>
      </c>
      <c r="E40" s="1" t="str">
        <v>g</v>
      </c>
      <c r="F40" s="1">
        <v>59</v>
      </c>
      <c r="G40" s="3" t="str">
        <v>N/A</v>
      </c>
      <c r="H40" s="3" t="str">
        <v>N/A</v>
      </c>
      <c r="I40" s="4" t="str">
        <v>N/A</v>
      </c>
      <c r="J40" s="4" t="str">
        <v>N/A</v>
      </c>
      <c r="K40" s="1" t="str">
        <v>N/A</v>
      </c>
      <c r="L40" s="1" t="str">
        <v>N/A</v>
      </c>
      <c r="M40" s="3" t="str">
        <v>N/A</v>
      </c>
      <c r="N40" s="3" t="str">
        <v>N/A</v>
      </c>
      <c r="O40" s="1" t="str">
        <v>N/A</v>
      </c>
      <c r="P40" s="3" t="str">
        <v>N/A</v>
      </c>
      <c r="Q40" s="4" t="str">
        <v>N/A</v>
      </c>
      <c r="R40" s="5" t="str">
        <v>N/A</v>
      </c>
      <c r="S40" s="3">
        <v>2</v>
      </c>
      <c r="T40" s="3">
        <f>D40/S40</f>
        <v>100</v>
      </c>
      <c r="U40" s="1">
        <f>F40/T40</f>
        <v>0.59</v>
      </c>
    </row>
    <row r="41" ht="15.75" customHeight="1">
      <c r="A41" t="str">
        <v>Unsalted Butter (Anchor)</v>
      </c>
      <c r="B41" t="str">
        <v>BAKING</v>
      </c>
      <c r="C41" t="str">
        <v>N/A</v>
      </c>
      <c r="D41">
        <v>200</v>
      </c>
      <c r="E41" s="1" t="str">
        <v>g</v>
      </c>
      <c r="F41" s="1">
        <v>119</v>
      </c>
      <c r="G41" s="3" t="str">
        <v>N/A</v>
      </c>
      <c r="H41" s="3" t="str">
        <v>N/A</v>
      </c>
      <c r="I41" s="4" t="str">
        <v>N/A</v>
      </c>
      <c r="J41" s="4" t="str">
        <v>N/A</v>
      </c>
      <c r="K41" s="1" t="str">
        <v>N/A</v>
      </c>
      <c r="L41" s="1" t="str">
        <v>N/A</v>
      </c>
      <c r="M41" s="3" t="str">
        <v>N/A</v>
      </c>
      <c r="N41" s="3" t="str">
        <v>N/A</v>
      </c>
      <c r="O41" s="1" t="str">
        <v>N/A</v>
      </c>
      <c r="P41" s="3" t="str">
        <v>N/A</v>
      </c>
      <c r="Q41" s="4" t="str">
        <v>N/A</v>
      </c>
      <c r="R41" s="5" t="str">
        <v>N/A</v>
      </c>
      <c r="S41" s="3">
        <v>168</v>
      </c>
      <c r="T41" s="3">
        <f>D41/S41</f>
        <v>1.19047619</v>
      </c>
      <c r="U41" s="1">
        <f>F41/T41</f>
        <v>99.96</v>
      </c>
    </row>
    <row r="42" ht="15.75" customHeight="1">
      <c r="A42" t="str">
        <v>Unsalted Butter (Anchor)</v>
      </c>
      <c r="B42" t="str">
        <v>FRUIT_CREAM</v>
      </c>
      <c r="C42" t="str">
        <v>Lemon Curd</v>
      </c>
      <c r="D42">
        <v>200</v>
      </c>
      <c r="E42" s="1" t="str">
        <v>g</v>
      </c>
      <c r="F42" s="1">
        <v>119</v>
      </c>
      <c r="G42" s="3" t="str">
        <v>N/A</v>
      </c>
      <c r="H42" s="3" t="str">
        <v>N/A</v>
      </c>
      <c r="I42" s="4" t="str">
        <v>N/A</v>
      </c>
      <c r="J42" s="4" t="str">
        <v>N/A</v>
      </c>
      <c r="K42" s="1" t="str">
        <v>N/A</v>
      </c>
      <c r="L42" s="1" t="str">
        <v>N/A</v>
      </c>
      <c r="M42" s="3" t="str">
        <v>N/A</v>
      </c>
      <c r="N42" s="3" t="str">
        <v>N/A</v>
      </c>
      <c r="O42" s="1" t="str">
        <v>N/A</v>
      </c>
      <c r="P42" s="3" t="str">
        <v>N/A</v>
      </c>
      <c r="Q42" s="4" t="str">
        <v>N/A</v>
      </c>
      <c r="R42" s="5" t="str">
        <v>N/A</v>
      </c>
      <c r="S42" s="3">
        <v>40</v>
      </c>
      <c r="T42" s="3">
        <f>D42/S42</f>
        <v>5</v>
      </c>
      <c r="U42" s="1">
        <f>F42/T42</f>
        <v>23.8</v>
      </c>
    </row>
    <row r="43" ht="15.75" customHeight="1">
      <c r="A43" t="str">
        <v>White Sugar</v>
      </c>
      <c r="B43" t="str">
        <v>COOKIE_SPECIFIC</v>
      </c>
      <c r="C43" t="str">
        <v>Choco Chip Cookie</v>
      </c>
      <c r="D43">
        <v>1000</v>
      </c>
      <c r="E43" s="1" t="str">
        <v>g</v>
      </c>
      <c r="F43" s="1">
        <v>92.5</v>
      </c>
      <c r="G43" s="3" t="str">
        <v>N/A</v>
      </c>
      <c r="H43" s="3" t="str">
        <v>N/A</v>
      </c>
      <c r="I43" s="4" t="str">
        <v>N/A</v>
      </c>
      <c r="J43" s="4" t="str">
        <v>N/A</v>
      </c>
      <c r="K43" s="1" t="str">
        <v>N/A</v>
      </c>
      <c r="L43" s="1" t="str">
        <v>N/A</v>
      </c>
      <c r="M43" s="3" t="str">
        <v>N/A</v>
      </c>
      <c r="N43" s="3" t="str">
        <v>N/A</v>
      </c>
      <c r="O43" s="1" t="str">
        <v>N/A</v>
      </c>
      <c r="P43" s="3" t="str">
        <v>N/A</v>
      </c>
      <c r="Q43" s="4" t="str">
        <v>N/A</v>
      </c>
      <c r="R43" s="5" t="str">
        <v>N/A</v>
      </c>
      <c r="S43" s="3">
        <v>100</v>
      </c>
      <c r="T43" s="3">
        <f>D43/S43</f>
        <v>10</v>
      </c>
      <c r="U43" s="1">
        <f>F43/T43</f>
        <v>9.25</v>
      </c>
    </row>
    <row r="44" ht="15.75" customHeight="1">
      <c r="A44" t="str">
        <v>White Sugar</v>
      </c>
      <c r="B44" t="str">
        <v>COOKIE_SPECIFIC</v>
      </c>
      <c r="C44" t="str">
        <v>Lemon Curd Cookie</v>
      </c>
      <c r="D44">
        <v>1000</v>
      </c>
      <c r="E44" s="1" t="str">
        <v>g</v>
      </c>
      <c r="F44" s="1">
        <v>92.5</v>
      </c>
      <c r="G44" s="3" t="str">
        <v>N/A</v>
      </c>
      <c r="H44" s="3" t="str">
        <v>N/A</v>
      </c>
      <c r="I44" s="4" t="str">
        <v>N/A</v>
      </c>
      <c r="J44" s="4" t="str">
        <v>N/A</v>
      </c>
      <c r="K44" s="1" t="str">
        <v>N/A</v>
      </c>
      <c r="L44" s="1" t="str">
        <v>N/A</v>
      </c>
      <c r="M44" s="3" t="str">
        <v>N/A</v>
      </c>
      <c r="N44" s="3" t="str">
        <v>N/A</v>
      </c>
      <c r="O44" s="1" t="str">
        <v>N/A</v>
      </c>
      <c r="P44" s="3" t="str">
        <v>N/A</v>
      </c>
      <c r="Q44" s="4" t="str">
        <v>N/A</v>
      </c>
      <c r="R44" s="5" t="str">
        <v>N/A</v>
      </c>
      <c r="S44" s="3">
        <v>135</v>
      </c>
      <c r="T44" s="3">
        <f>D44/S44</f>
        <v>7.407407407</v>
      </c>
      <c r="U44" s="1">
        <f>F44/T44</f>
        <v>12.4875</v>
      </c>
    </row>
    <row r="45" ht="15.75" customHeight="1">
      <c r="A45" t="str">
        <v>White Sugar</v>
      </c>
      <c r="B45" t="str">
        <v>COOKIE_SPECIFIC</v>
      </c>
      <c r="C45" t="str">
        <v>Oat Raisin Cookie</v>
      </c>
      <c r="D45">
        <v>1000</v>
      </c>
      <c r="E45" s="1" t="str">
        <v>g</v>
      </c>
      <c r="F45" s="1">
        <v>92.5</v>
      </c>
      <c r="G45" s="3" t="str">
        <v>N/A</v>
      </c>
      <c r="H45" s="3" t="str">
        <v>N/A</v>
      </c>
      <c r="I45" s="4" t="str">
        <v>N/A</v>
      </c>
      <c r="J45" s="4" t="str">
        <v>N/A</v>
      </c>
      <c r="K45" s="1" t="str">
        <v>N/A</v>
      </c>
      <c r="L45" s="1" t="str">
        <v>N/A</v>
      </c>
      <c r="M45" s="3" t="str">
        <v>N/A</v>
      </c>
      <c r="N45" s="3" t="str">
        <v>N/A</v>
      </c>
      <c r="O45" s="1" t="str">
        <v>N/A</v>
      </c>
      <c r="P45" s="3" t="str">
        <v>N/A</v>
      </c>
      <c r="Q45" s="4" t="str">
        <v>N/A</v>
      </c>
      <c r="R45" s="5" t="str">
        <v>N/A</v>
      </c>
      <c r="S45" s="3">
        <v>100</v>
      </c>
      <c r="T45" s="3">
        <f>D45/S45</f>
        <v>10</v>
      </c>
      <c r="U45" s="1">
        <f>F45/T45</f>
        <v>9.25</v>
      </c>
    </row>
    <row r="46" ht="15.75" customHeight="1">
      <c r="A46" t="str">
        <v>Brown Sugar</v>
      </c>
      <c r="B46" t="str">
        <v>COOKIE_SPECIFIC</v>
      </c>
      <c r="C46" t="str">
        <v>Choco Chip Cookie</v>
      </c>
      <c r="D46">
        <v>1000</v>
      </c>
      <c r="E46" s="1" t="str">
        <v>g</v>
      </c>
      <c r="F46" s="1">
        <v>83</v>
      </c>
      <c r="G46" s="3" t="str">
        <v>N/A</v>
      </c>
      <c r="H46" s="3" t="str">
        <v>N/A</v>
      </c>
      <c r="I46" s="4" t="str">
        <v>N/A</v>
      </c>
      <c r="J46" s="4" t="str">
        <v>N/A</v>
      </c>
      <c r="K46" s="1" t="str">
        <v>N/A</v>
      </c>
      <c r="L46" s="1" t="str">
        <v>N/A</v>
      </c>
      <c r="M46" s="3" t="str">
        <v>N/A</v>
      </c>
      <c r="N46" s="3" t="str">
        <v>N/A</v>
      </c>
      <c r="O46" s="1" t="str">
        <v>N/A</v>
      </c>
      <c r="P46" s="3" t="str">
        <v>N/A</v>
      </c>
      <c r="Q46" s="4" t="str">
        <v>N/A</v>
      </c>
      <c r="R46" s="5" t="str">
        <v>N/A</v>
      </c>
      <c r="S46" s="3">
        <v>80</v>
      </c>
      <c r="T46" s="3">
        <f>D46/S46</f>
        <v>12.5</v>
      </c>
      <c r="U46" s="1">
        <f>F46/T46</f>
        <v>6.64</v>
      </c>
    </row>
    <row r="47" ht="15.75" customHeight="1">
      <c r="A47" t="str">
        <v>Brown Sugar</v>
      </c>
      <c r="B47" t="str">
        <v>COOKIE_SPECIFIC</v>
      </c>
      <c r="C47" t="str">
        <v>Lemon Curd Cookie</v>
      </c>
      <c r="D47">
        <v>1000</v>
      </c>
      <c r="E47" s="1" t="str">
        <v>g</v>
      </c>
      <c r="F47" s="1">
        <v>83</v>
      </c>
      <c r="G47" s="3" t="str">
        <v>N/A</v>
      </c>
      <c r="H47" s="3" t="str">
        <v>N/A</v>
      </c>
      <c r="I47" s="4" t="str">
        <v>N/A</v>
      </c>
      <c r="J47" s="4" t="str">
        <v>N/A</v>
      </c>
      <c r="K47" s="1" t="str">
        <v>N/A</v>
      </c>
      <c r="L47" s="1" t="str">
        <v>N/A</v>
      </c>
      <c r="M47" s="3" t="str">
        <v>N/A</v>
      </c>
      <c r="N47" s="3" t="str">
        <v>N/A</v>
      </c>
      <c r="O47" s="1" t="str">
        <v>N/A</v>
      </c>
      <c r="P47" s="3" t="str">
        <v>N/A</v>
      </c>
      <c r="Q47" s="4" t="str">
        <v>N/A</v>
      </c>
      <c r="R47" s="5" t="str">
        <v>N/A</v>
      </c>
      <c r="S47" s="3">
        <v>30</v>
      </c>
      <c r="T47" s="3">
        <f>D47/S47</f>
        <v>33.33333333</v>
      </c>
      <c r="U47" s="1">
        <f>F47/T47</f>
        <v>2.49</v>
      </c>
    </row>
    <row r="48" ht="15.75" customHeight="1">
      <c r="A48" t="str">
        <v>Brown Sugar</v>
      </c>
      <c r="B48" t="str">
        <v>COOKIE_SPECIFIC</v>
      </c>
      <c r="C48" t="str">
        <v>Oat Raisin Cookie</v>
      </c>
      <c r="D48">
        <v>1000</v>
      </c>
      <c r="E48" s="1" t="str">
        <v>g</v>
      </c>
      <c r="F48" s="1">
        <v>83</v>
      </c>
      <c r="G48" s="3" t="str">
        <v>N/A</v>
      </c>
      <c r="H48" s="3" t="str">
        <v>N/A</v>
      </c>
      <c r="I48" s="4" t="str">
        <v>N/A</v>
      </c>
      <c r="J48" s="4" t="str">
        <v>N/A</v>
      </c>
      <c r="K48" s="1" t="str">
        <v>N/A</v>
      </c>
      <c r="L48" s="1" t="str">
        <v>N/A</v>
      </c>
      <c r="M48" s="3" t="str">
        <v>N/A</v>
      </c>
      <c r="N48" s="3" t="str">
        <v>N/A</v>
      </c>
      <c r="O48" s="1" t="str">
        <v>N/A</v>
      </c>
      <c r="P48" s="3" t="str">
        <v>N/A</v>
      </c>
      <c r="Q48" s="4" t="str">
        <v>N/A</v>
      </c>
      <c r="R48" s="5" t="str">
        <v>N/A</v>
      </c>
      <c r="S48" s="3">
        <v>80</v>
      </c>
      <c r="T48" s="3">
        <f>D48/S48</f>
        <v>12.5</v>
      </c>
      <c r="U48" s="1">
        <f>F48/T48</f>
        <v>6.64</v>
      </c>
    </row>
    <row r="49" ht="15.75" customHeight="1">
      <c r="A49" t="str">
        <v>Large Egg</v>
      </c>
      <c r="B49" t="str">
        <v>COOKIE_SPECIFIC</v>
      </c>
      <c r="C49" t="str">
        <v>Choco Chip Cookie</v>
      </c>
      <c r="D49">
        <v>50</v>
      </c>
      <c r="E49" s="1" t="str">
        <v>g</v>
      </c>
      <c r="F49" s="1">
        <v>11</v>
      </c>
      <c r="G49" s="3" t="str">
        <v>N/A</v>
      </c>
      <c r="H49" s="3" t="str">
        <v>N/A</v>
      </c>
      <c r="I49" s="4" t="str">
        <v>N/A</v>
      </c>
      <c r="J49" s="4" t="str">
        <v>N/A</v>
      </c>
      <c r="K49" s="1" t="str">
        <v>N/A</v>
      </c>
      <c r="L49" s="1" t="str">
        <v>N/A</v>
      </c>
      <c r="M49" s="3" t="str">
        <v>N/A</v>
      </c>
      <c r="N49" s="3" t="str">
        <v>N/A</v>
      </c>
      <c r="O49" s="1" t="str">
        <v>N/A</v>
      </c>
      <c r="P49" s="3" t="str">
        <v>N/A</v>
      </c>
      <c r="Q49" s="4" t="str">
        <v>N/A</v>
      </c>
      <c r="R49" s="5" t="str">
        <v>N/A</v>
      </c>
      <c r="S49" s="3">
        <v>100</v>
      </c>
      <c r="T49" s="3">
        <f>D49/S49</f>
        <v>0.5</v>
      </c>
      <c r="U49" s="1">
        <f>F49/T49</f>
        <v>22</v>
      </c>
    </row>
    <row r="50" ht="15.75" customHeight="1">
      <c r="A50" t="str">
        <v>Large Egg</v>
      </c>
      <c r="B50" t="str">
        <v>COOKIE_SPECIFIC</v>
      </c>
      <c r="C50" t="str">
        <v>Lemon Curd Cookie</v>
      </c>
      <c r="D50">
        <v>50</v>
      </c>
      <c r="E50" s="1" t="str">
        <v>g</v>
      </c>
      <c r="F50" s="1">
        <v>11</v>
      </c>
      <c r="G50" s="3" t="str">
        <v>N/A</v>
      </c>
      <c r="H50" s="3" t="str">
        <v>N/A</v>
      </c>
      <c r="I50" s="4" t="str">
        <v>N/A</v>
      </c>
      <c r="J50" s="4" t="str">
        <v>N/A</v>
      </c>
      <c r="K50" s="1" t="str">
        <v>N/A</v>
      </c>
      <c r="L50" s="1" t="str">
        <v>N/A</v>
      </c>
      <c r="M50" s="3" t="str">
        <v>N/A</v>
      </c>
      <c r="N50" s="3" t="str">
        <v>N/A</v>
      </c>
      <c r="O50" s="1" t="str">
        <v>N/A</v>
      </c>
      <c r="P50" s="3" t="str">
        <v>N/A</v>
      </c>
      <c r="Q50" s="4" t="str">
        <v>N/A</v>
      </c>
      <c r="R50" s="5" t="str">
        <v>N/A</v>
      </c>
      <c r="S50" s="3">
        <v>50</v>
      </c>
      <c r="T50" s="3">
        <f>D50/S50</f>
        <v>1</v>
      </c>
      <c r="U50" s="1">
        <f>F50/T50</f>
        <v>11</v>
      </c>
    </row>
    <row r="51" ht="15.75" customHeight="1">
      <c r="A51" t="str">
        <v>Large Egg</v>
      </c>
      <c r="B51" t="str">
        <v>FRUIT_CREAM</v>
      </c>
      <c r="C51" t="str">
        <v>Lemon Curd</v>
      </c>
      <c r="D51">
        <v>50</v>
      </c>
      <c r="E51" s="1" t="str">
        <v>g</v>
      </c>
      <c r="F51" s="1">
        <v>11</v>
      </c>
      <c r="G51" s="3" t="str">
        <v>N/A</v>
      </c>
      <c r="H51" s="3" t="str">
        <v>N/A</v>
      </c>
      <c r="I51" s="4" t="str">
        <v>N/A</v>
      </c>
      <c r="J51" s="4" t="str">
        <v>N/A</v>
      </c>
      <c r="K51" s="1" t="str">
        <v>N/A</v>
      </c>
      <c r="L51" s="1" t="str">
        <v>N/A</v>
      </c>
      <c r="M51" s="3" t="str">
        <v>N/A</v>
      </c>
      <c r="N51" s="3" t="str">
        <v>N/A</v>
      </c>
      <c r="O51" s="1" t="str">
        <v>N/A</v>
      </c>
      <c r="P51" s="3" t="str">
        <v>N/A</v>
      </c>
      <c r="Q51" s="4" t="str">
        <v>N/A</v>
      </c>
      <c r="R51" s="5" t="str">
        <v>N/A</v>
      </c>
      <c r="S51" s="3">
        <v>100</v>
      </c>
      <c r="T51" s="3">
        <f>D51/S51</f>
        <v>0.5</v>
      </c>
      <c r="U51" s="1">
        <f>F51/T51</f>
        <v>22</v>
      </c>
    </row>
    <row r="52" ht="15.75" customHeight="1">
      <c r="A52" t="str">
        <v>Large Egg</v>
      </c>
      <c r="B52" t="str">
        <v>COOKIE_SPECIFIC</v>
      </c>
      <c r="C52" t="str">
        <v>Oat Raisin Cookie</v>
      </c>
      <c r="D52">
        <v>50</v>
      </c>
      <c r="E52" s="1" t="str">
        <v>g</v>
      </c>
      <c r="F52" s="1">
        <v>11</v>
      </c>
      <c r="G52" s="3" t="str">
        <v>N/A</v>
      </c>
      <c r="H52" s="3" t="str">
        <v>N/A</v>
      </c>
      <c r="I52" s="4" t="str">
        <v>N/A</v>
      </c>
      <c r="J52" s="4" t="str">
        <v>N/A</v>
      </c>
      <c r="K52" s="1" t="str">
        <v>N/A</v>
      </c>
      <c r="L52" s="1" t="str">
        <v>N/A</v>
      </c>
      <c r="M52" s="3" t="str">
        <v>N/A</v>
      </c>
      <c r="N52" s="3" t="str">
        <v>N/A</v>
      </c>
      <c r="O52" s="1" t="str">
        <v>N/A</v>
      </c>
      <c r="P52" s="3" t="str">
        <v>N/A</v>
      </c>
      <c r="Q52" s="4" t="str">
        <v>N/A</v>
      </c>
      <c r="R52" s="5" t="str">
        <v>N/A</v>
      </c>
      <c r="S52" s="3">
        <v>100</v>
      </c>
      <c r="T52" s="3">
        <f>D52/S52</f>
        <v>0.5</v>
      </c>
      <c r="U52" s="1">
        <f>F52/T52</f>
        <v>22</v>
      </c>
    </row>
    <row r="53" ht="15.75" customHeight="1">
      <c r="A53" t="str">
        <v>Vanilla Extract</v>
      </c>
      <c r="B53" t="str">
        <v>COOKIE_SPECIFIC</v>
      </c>
      <c r="C53" t="str">
        <v>Choco Chip Cookie</v>
      </c>
      <c r="D53">
        <v>20</v>
      </c>
      <c r="E53" s="1" t="str">
        <v>ml</v>
      </c>
      <c r="F53" s="1">
        <v>54.5</v>
      </c>
      <c r="G53" s="3" t="str">
        <v>N/A</v>
      </c>
      <c r="H53" s="3" t="str">
        <v>N/A</v>
      </c>
      <c r="I53" s="4" t="str">
        <v>N/A</v>
      </c>
      <c r="J53" s="4" t="str">
        <v>N/A</v>
      </c>
      <c r="K53" s="1" t="str">
        <v>N/A</v>
      </c>
      <c r="L53" s="1" t="str">
        <v>N/A</v>
      </c>
      <c r="M53" s="3" t="str">
        <v>N/A</v>
      </c>
      <c r="N53" s="3" t="str">
        <v>N/A</v>
      </c>
      <c r="O53" s="1" t="str">
        <v>N/A</v>
      </c>
      <c r="P53" s="3" t="str">
        <v>N/A</v>
      </c>
      <c r="Q53" s="4" t="str">
        <v>N/A</v>
      </c>
      <c r="R53" s="5" t="str">
        <v>N/A</v>
      </c>
      <c r="S53" s="3">
        <v>5</v>
      </c>
      <c r="T53" s="3">
        <f>D53/S53</f>
        <v>4</v>
      </c>
      <c r="U53" s="1">
        <f>F53/T53</f>
        <v>13.625</v>
      </c>
    </row>
    <row r="54" ht="15.75" customHeight="1">
      <c r="A54" t="str">
        <v>Vanilla Extract</v>
      </c>
      <c r="B54" t="str">
        <v>COOKIE_SPECIFIC</v>
      </c>
      <c r="C54" t="str">
        <v>Lemon Curd Cookie</v>
      </c>
      <c r="D54">
        <v>20</v>
      </c>
      <c r="E54" s="1" t="str">
        <v>ml</v>
      </c>
      <c r="F54" s="1">
        <v>54.5</v>
      </c>
      <c r="G54" s="3" t="str">
        <v>N/A</v>
      </c>
      <c r="H54" s="3" t="str">
        <v>N/A</v>
      </c>
      <c r="I54" s="4" t="str">
        <v>N/A</v>
      </c>
      <c r="J54" s="4" t="str">
        <v>N/A</v>
      </c>
      <c r="K54" s="1" t="str">
        <v>N/A</v>
      </c>
      <c r="L54" s="1" t="str">
        <v>N/A</v>
      </c>
      <c r="M54" s="3" t="str">
        <v>N/A</v>
      </c>
      <c r="N54" s="3" t="str">
        <v>N/A</v>
      </c>
      <c r="O54" s="1" t="str">
        <v>N/A</v>
      </c>
      <c r="P54" s="3" t="str">
        <v>N/A</v>
      </c>
      <c r="Q54" s="4" t="str">
        <v>N/A</v>
      </c>
      <c r="R54" s="5" t="str">
        <v>N/A</v>
      </c>
      <c r="S54" s="3">
        <v>0.625</v>
      </c>
      <c r="T54" s="3">
        <f>D54/S54</f>
        <v>32</v>
      </c>
      <c r="U54" s="1">
        <f>F54/T54</f>
        <v>1.703125</v>
      </c>
    </row>
    <row r="55" ht="15.75" customHeight="1">
      <c r="A55" t="str">
        <v>Vanilla Extract</v>
      </c>
      <c r="B55" t="str">
        <v>COOKIE_SPECIFIC</v>
      </c>
      <c r="C55" t="str">
        <v>Oat Raisin Cookie</v>
      </c>
      <c r="D55">
        <v>20</v>
      </c>
      <c r="E55" s="1" t="str">
        <v>ml</v>
      </c>
      <c r="F55" s="1">
        <v>54.5</v>
      </c>
      <c r="G55" s="3" t="str">
        <v>N/A</v>
      </c>
      <c r="H55" s="3" t="str">
        <v>N/A</v>
      </c>
      <c r="I55" s="4" t="str">
        <v>N/A</v>
      </c>
      <c r="J55" s="4" t="str">
        <v>N/A</v>
      </c>
      <c r="K55" s="1" t="str">
        <v>N/A</v>
      </c>
      <c r="L55" s="1" t="str">
        <v>N/A</v>
      </c>
      <c r="M55" s="3" t="str">
        <v>N/A</v>
      </c>
      <c r="N55" s="3" t="str">
        <v>N/A</v>
      </c>
      <c r="O55" s="1" t="str">
        <v>N/A</v>
      </c>
      <c r="P55" s="3" t="str">
        <v>N/A</v>
      </c>
      <c r="Q55" s="4" t="str">
        <v>N/A</v>
      </c>
      <c r="R55" s="5" t="str">
        <v>N/A</v>
      </c>
      <c r="S55" s="3">
        <v>5</v>
      </c>
      <c r="T55" s="3">
        <f>D55/S55</f>
        <v>4</v>
      </c>
      <c r="U55" s="1">
        <f>F55/T55</f>
        <v>13.625</v>
      </c>
    </row>
    <row r="56" ht="15.75" customHeight="1">
      <c r="A56" t="str">
        <v>Lemon Extract</v>
      </c>
      <c r="B56" t="str">
        <v>COOKIE_SPECIFIC</v>
      </c>
      <c r="C56" t="str">
        <v>Lemon Curd Cookie</v>
      </c>
      <c r="D56">
        <v>20</v>
      </c>
      <c r="E56" s="1" t="str">
        <v>ml</v>
      </c>
      <c r="F56" s="1">
        <v>56</v>
      </c>
      <c r="G56" s="3" t="str">
        <v>N/A</v>
      </c>
      <c r="H56" s="3" t="str">
        <v>N/A</v>
      </c>
      <c r="I56" s="4" t="str">
        <v>N/A</v>
      </c>
      <c r="J56" s="4" t="str">
        <v>N/A</v>
      </c>
      <c r="K56" s="1" t="str">
        <v>N/A</v>
      </c>
      <c r="L56" s="1" t="str">
        <v>N/A</v>
      </c>
      <c r="M56" s="3" t="str">
        <v>N/A</v>
      </c>
      <c r="N56" s="3" t="str">
        <v>N/A</v>
      </c>
      <c r="O56" s="1" t="str">
        <v>N/A</v>
      </c>
      <c r="P56" s="3" t="str">
        <v>N/A</v>
      </c>
      <c r="Q56" s="4" t="str">
        <v>N/A</v>
      </c>
      <c r="R56" s="5" t="str">
        <v>N/A</v>
      </c>
      <c r="S56" s="3">
        <v>3.75</v>
      </c>
      <c r="T56" s="3">
        <f>D56/S56</f>
        <v>5.333333333</v>
      </c>
      <c r="U56" s="1">
        <f>F56/T56</f>
        <v>10.5</v>
      </c>
    </row>
    <row r="57" ht="15.75" customHeight="1">
      <c r="A57" t="str">
        <v>Lemon Extract</v>
      </c>
      <c r="B57" t="str">
        <v>FRUIT_CREAM</v>
      </c>
      <c r="C57" t="str">
        <v>Lemon Curd</v>
      </c>
      <c r="D57">
        <v>20</v>
      </c>
      <c r="E57" s="1" t="str">
        <v>ml</v>
      </c>
      <c r="F57" s="1">
        <v>56</v>
      </c>
      <c r="G57" s="3" t="str">
        <v>N/A</v>
      </c>
      <c r="H57" s="3" t="str">
        <v>N/A</v>
      </c>
      <c r="I57" s="4" t="str">
        <v>N/A</v>
      </c>
      <c r="J57" s="4" t="str">
        <v>N/A</v>
      </c>
      <c r="K57" s="1" t="str">
        <v>N/A</v>
      </c>
      <c r="L57" s="1" t="str">
        <v>N/A</v>
      </c>
      <c r="M57" s="3" t="str">
        <v>N/A</v>
      </c>
      <c r="N57" s="3" t="str">
        <v>N/A</v>
      </c>
      <c r="O57" s="1" t="str">
        <v>N/A</v>
      </c>
      <c r="P57" s="3" t="str">
        <v>N/A</v>
      </c>
      <c r="Q57" s="4" t="str">
        <v>N/A</v>
      </c>
      <c r="R57" s="5" t="str">
        <v>N/A</v>
      </c>
      <c r="S57" s="3">
        <v>0.625</v>
      </c>
      <c r="T57" s="3">
        <f>D57/S57</f>
        <v>32</v>
      </c>
      <c r="U57" s="1">
        <f>F57/T57</f>
        <v>1.75</v>
      </c>
    </row>
    <row r="58" ht="15.75" customHeight="1">
      <c r="A58" t="str">
        <v>Lemon Fruit</v>
      </c>
      <c r="B58" t="str">
        <v>FRUIT_CREAM</v>
      </c>
      <c r="C58" t="str">
        <v>Lemon Curd</v>
      </c>
      <c r="D58">
        <v>1</v>
      </c>
      <c r="E58" s="1" t="str">
        <v>pcs</v>
      </c>
      <c r="F58" s="1">
        <v>25</v>
      </c>
      <c r="G58" s="3" t="str">
        <v>N/A</v>
      </c>
      <c r="H58" s="3" t="str">
        <v>N/A</v>
      </c>
      <c r="I58" s="4" t="str">
        <v>N/A</v>
      </c>
      <c r="J58" s="4" t="str">
        <v>N/A</v>
      </c>
      <c r="K58" s="1" t="str">
        <v>N/A</v>
      </c>
      <c r="L58" s="1" t="str">
        <v>N/A</v>
      </c>
      <c r="M58" s="3" t="str">
        <v>N/A</v>
      </c>
      <c r="N58" s="3" t="str">
        <v>N/A</v>
      </c>
      <c r="O58" s="1" t="str">
        <v>N/A</v>
      </c>
      <c r="P58" s="3" t="str">
        <v>N/A</v>
      </c>
      <c r="Q58" s="4" t="str">
        <v>N/A</v>
      </c>
      <c r="R58" s="5" t="str">
        <v>N/A</v>
      </c>
      <c r="S58" s="3">
        <v>1</v>
      </c>
      <c r="T58" s="3">
        <f>D58/S58</f>
        <v>1</v>
      </c>
      <c r="U58" s="1">
        <f>F58/T58</f>
        <v>25</v>
      </c>
    </row>
    <row r="59" ht="15.75" customHeight="1">
      <c r="A59" t="str">
        <v>Choco Chips (Dutchee)</v>
      </c>
      <c r="B59" t="str">
        <v>COOKIE_SPECIFIC</v>
      </c>
      <c r="C59" t="str">
        <v>Choco Chip Cookie</v>
      </c>
      <c r="D59">
        <v>350</v>
      </c>
      <c r="E59" s="1" t="str">
        <v>g</v>
      </c>
      <c r="F59" s="1">
        <v>173.8333</v>
      </c>
      <c r="G59" s="3" t="str">
        <v>N/A</v>
      </c>
      <c r="H59" s="3" t="str">
        <v>N/A</v>
      </c>
      <c r="I59" s="4" t="str">
        <v>N/A</v>
      </c>
      <c r="J59" s="4" t="str">
        <v>N/A</v>
      </c>
      <c r="K59" s="1" t="str">
        <v>N/A</v>
      </c>
      <c r="L59" s="1" t="str">
        <v>N/A</v>
      </c>
      <c r="M59" s="3" t="str">
        <v>N/A</v>
      </c>
      <c r="N59" s="3" t="str">
        <v>N/A</v>
      </c>
      <c r="O59" s="1" t="str">
        <v>N/A</v>
      </c>
      <c r="P59" s="3" t="str">
        <v>N/A</v>
      </c>
      <c r="Q59" s="4" t="str">
        <v>N/A</v>
      </c>
      <c r="R59" s="5" t="str">
        <v>N/A</v>
      </c>
      <c r="S59" s="3">
        <v>90</v>
      </c>
      <c r="T59" s="3">
        <f>D59/S59</f>
        <v>3.888888889</v>
      </c>
      <c r="U59" s="1">
        <f>F59/T59</f>
        <v>44.69999143</v>
      </c>
    </row>
    <row r="60" ht="15.75" customHeight="1">
      <c r="A60" t="str">
        <v>Choco Bar (Beryls)</v>
      </c>
      <c r="B60" t="str">
        <v>COOKIE_SPECIFIC</v>
      </c>
      <c r="C60" t="str">
        <v>Choco Chip Cookie</v>
      </c>
      <c r="D60">
        <v>200</v>
      </c>
      <c r="E60" s="1" t="str">
        <v>g</v>
      </c>
      <c r="F60" s="1">
        <v>94.5</v>
      </c>
      <c r="G60" s="3" t="str">
        <v>N/A</v>
      </c>
      <c r="H60" s="3" t="str">
        <v>N/A</v>
      </c>
      <c r="I60" s="4" t="str">
        <v>N/A</v>
      </c>
      <c r="J60" s="4" t="str">
        <v>N/A</v>
      </c>
      <c r="K60" s="1" t="str">
        <v>N/A</v>
      </c>
      <c r="L60" s="1" t="str">
        <v>N/A</v>
      </c>
      <c r="M60" s="3" t="str">
        <v>N/A</v>
      </c>
      <c r="N60" s="3" t="str">
        <v>N/A</v>
      </c>
      <c r="O60" s="1" t="str">
        <v>N/A</v>
      </c>
      <c r="P60" s="3" t="str">
        <v>N/A</v>
      </c>
      <c r="Q60" s="4" t="str">
        <v>N/A</v>
      </c>
      <c r="R60" s="5" t="str">
        <v>N/A</v>
      </c>
      <c r="S60" s="3">
        <v>100</v>
      </c>
      <c r="T60" s="3">
        <f>D60/S60</f>
        <v>2</v>
      </c>
      <c r="U60" s="1">
        <f>F60/T60</f>
        <v>47.25</v>
      </c>
    </row>
    <row r="61" ht="15.75" customHeight="1">
      <c r="A61" t="str">
        <v>Salt</v>
      </c>
      <c r="B61" t="str">
        <v>COOKIE_SPECIFIC</v>
      </c>
      <c r="C61" t="str">
        <v>Lemon Curd Cookie</v>
      </c>
      <c r="D61">
        <v>250</v>
      </c>
      <c r="E61" s="1" t="str">
        <v>g</v>
      </c>
      <c r="F61" s="1">
        <v>11.75</v>
      </c>
      <c r="G61" s="3" t="str">
        <v>N/A</v>
      </c>
      <c r="H61" s="3" t="str">
        <v>N/A</v>
      </c>
      <c r="I61" s="4" t="str">
        <v>N/A</v>
      </c>
      <c r="J61" s="4" t="str">
        <v>N/A</v>
      </c>
      <c r="K61" s="1" t="str">
        <v>N/A</v>
      </c>
      <c r="L61" s="1" t="str">
        <v>N/A</v>
      </c>
      <c r="M61" s="3" t="str">
        <v>N/A</v>
      </c>
      <c r="N61" s="3" t="str">
        <v>N/A</v>
      </c>
      <c r="O61" s="1" t="str">
        <v>N/A</v>
      </c>
      <c r="P61" s="3" t="str">
        <v>N/A</v>
      </c>
      <c r="Q61" s="4" t="str">
        <v>N/A</v>
      </c>
      <c r="R61" s="5" t="str">
        <v>N/A</v>
      </c>
      <c r="S61" s="3">
        <v>0.9</v>
      </c>
      <c r="T61" s="3">
        <f>D61/S61</f>
        <v>277.7777778</v>
      </c>
      <c r="U61" s="1">
        <f>F61/T61</f>
        <v>0.0423</v>
      </c>
    </row>
    <row r="62" ht="15.75" customHeight="1">
      <c r="A62" t="str">
        <v>Rolled Oats (QUAKER)</v>
      </c>
      <c r="B62" t="str">
        <v>COOKIE_SPECIFIC</v>
      </c>
      <c r="C62" t="str">
        <v>Oat Raisin Cookie</v>
      </c>
      <c r="D62">
        <v>1200</v>
      </c>
      <c r="E62" s="1" t="str">
        <v>g</v>
      </c>
      <c r="F62" s="1">
        <v>267</v>
      </c>
      <c r="G62" s="3" t="str">
        <v>N/A</v>
      </c>
      <c r="H62" s="3" t="str">
        <v>N/A</v>
      </c>
      <c r="I62" s="4" t="str">
        <v>N/A</v>
      </c>
      <c r="J62" s="4" t="str">
        <v>N/A</v>
      </c>
      <c r="K62" s="1" t="str">
        <v>N/A</v>
      </c>
      <c r="L62" s="1" t="str">
        <v>N/A</v>
      </c>
      <c r="M62" s="3" t="str">
        <v>N/A</v>
      </c>
      <c r="N62" s="3" t="str">
        <v>N/A</v>
      </c>
      <c r="O62" s="1" t="str">
        <v>N/A</v>
      </c>
      <c r="P62" s="3" t="str">
        <v>N/A</v>
      </c>
      <c r="Q62" s="4" t="str">
        <v>N/A</v>
      </c>
      <c r="R62" s="5" t="str">
        <v>N/A</v>
      </c>
      <c r="S62" s="3">
        <v>100</v>
      </c>
      <c r="T62" s="3">
        <f>D62/S62</f>
        <v>12</v>
      </c>
      <c r="U62" s="1">
        <f>F62/T62</f>
        <v>22.25</v>
      </c>
    </row>
    <row r="63" ht="15.75" customHeight="1">
      <c r="A63" t="str">
        <v>Cinnamon Powder (McCormick)</v>
      </c>
      <c r="B63" t="str">
        <v>COOKIE_SPECIFIC</v>
      </c>
      <c r="C63" t="str">
        <v>Oat Raisin Cookie</v>
      </c>
      <c r="D63">
        <v>30</v>
      </c>
      <c r="E63" s="1" t="str">
        <v>g</v>
      </c>
      <c r="F63" s="1">
        <v>73.5</v>
      </c>
      <c r="G63" s="3" t="str">
        <v>N/A</v>
      </c>
      <c r="H63" s="3" t="str">
        <v>N/A</v>
      </c>
      <c r="I63" s="4" t="str">
        <v>N/A</v>
      </c>
      <c r="J63" s="4" t="str">
        <v>N/A</v>
      </c>
      <c r="K63" s="1" t="str">
        <v>N/A</v>
      </c>
      <c r="L63" s="1" t="str">
        <v>N/A</v>
      </c>
      <c r="M63" s="3" t="str">
        <v>N/A</v>
      </c>
      <c r="N63" s="3" t="str">
        <v>N/A</v>
      </c>
      <c r="O63" s="1" t="str">
        <v>N/A</v>
      </c>
      <c r="P63" s="3" t="str">
        <v>N/A</v>
      </c>
      <c r="Q63" s="4" t="str">
        <v>N/A</v>
      </c>
      <c r="R63" s="5" t="str">
        <v>N/A</v>
      </c>
      <c r="S63" s="3">
        <v>1.3</v>
      </c>
      <c r="T63" s="3">
        <f>D63/S63</f>
        <v>23.07692308</v>
      </c>
      <c r="U63" s="1">
        <f>F63/T63</f>
        <v>3.185</v>
      </c>
    </row>
    <row r="64" ht="15.75" customHeight="1">
      <c r="A64" t="str">
        <v>Raisins (Sevillla)</v>
      </c>
      <c r="B64" t="str">
        <v>COOKIE_SPECIFIC</v>
      </c>
      <c r="C64" t="str">
        <v>Oat Raisin Cookie</v>
      </c>
      <c r="D64">
        <v>200</v>
      </c>
      <c r="E64" s="1" t="str">
        <v>g</v>
      </c>
      <c r="F64" s="1">
        <v>104.5</v>
      </c>
      <c r="G64" s="3" t="str">
        <v>N/A</v>
      </c>
      <c r="H64" s="3" t="str">
        <v>N/A</v>
      </c>
      <c r="I64" s="4" t="str">
        <v>N/A</v>
      </c>
      <c r="J64" s="4" t="str">
        <v>N/A</v>
      </c>
      <c r="K64" s="1" t="str">
        <v>N/A</v>
      </c>
      <c r="L64" s="1" t="str">
        <v>N/A</v>
      </c>
      <c r="M64" s="3" t="str">
        <v>N/A</v>
      </c>
      <c r="N64" s="3" t="str">
        <v>N/A</v>
      </c>
      <c r="O64" s="1" t="str">
        <v>N/A</v>
      </c>
      <c r="P64" s="3" t="str">
        <v>N/A</v>
      </c>
      <c r="Q64" s="4" t="str">
        <v>N/A</v>
      </c>
      <c r="R64" s="5" t="str">
        <v>N/A</v>
      </c>
      <c r="S64" s="3">
        <v>150</v>
      </c>
      <c r="T64" s="3">
        <f>D64/S64</f>
        <v>1.333333333</v>
      </c>
      <c r="U64" s="1">
        <f>F64/T64</f>
        <v>78.375</v>
      </c>
    </row>
    <row r="65" ht="15.75" customHeight="1">
      <c r="A65" t="str">
        <v>All Purpose Cream (Nestle)</v>
      </c>
      <c r="B65" t="str">
        <v>CREAM_SERIES</v>
      </c>
      <c r="C65" t="str">
        <v>Homemade Cold Foam</v>
      </c>
      <c r="D65">
        <v>250</v>
      </c>
      <c r="E65" s="1" t="str">
        <v>ml</v>
      </c>
      <c r="F65" s="1">
        <v>63.5</v>
      </c>
      <c r="G65" s="3" t="str">
        <v>N/A</v>
      </c>
      <c r="H65" s="3" t="str">
        <v>N/A</v>
      </c>
      <c r="I65" s="4" t="str">
        <v>N/A</v>
      </c>
      <c r="J65" s="4" t="str">
        <v>N/A</v>
      </c>
      <c r="K65" s="1" t="str">
        <v>N/A</v>
      </c>
      <c r="L65" s="1" t="str">
        <v>N/A</v>
      </c>
      <c r="M65" s="3">
        <v>40</v>
      </c>
      <c r="N65" s="3">
        <f>D65/M65</f>
        <v>6.25</v>
      </c>
      <c r="O65" s="1">
        <f>F65/N65</f>
        <v>10.16</v>
      </c>
      <c r="P65" s="3">
        <v>40</v>
      </c>
      <c r="Q65" s="3">
        <f>D65/P65</f>
        <v>6.25</v>
      </c>
      <c r="R65" s="1">
        <f>F65/Q65</f>
        <v>10.16</v>
      </c>
      <c r="S65" s="3" t="str">
        <v>N/A</v>
      </c>
      <c r="T65" s="3" t="str">
        <v>N/A</v>
      </c>
      <c r="U65" s="3" t="str">
        <v>N/A</v>
      </c>
    </row>
    <row r="66" ht="15.75" customHeight="1">
      <c r="A66" t="str">
        <v>Vanilla Syrup</v>
      </c>
      <c r="B66" t="str">
        <v>CREAM_SERIES</v>
      </c>
      <c r="C66" t="str">
        <v>Homemade Cold Foam</v>
      </c>
      <c r="D66">
        <v>750</v>
      </c>
      <c r="E66" s="1" t="str">
        <v>ml</v>
      </c>
      <c r="F66" s="1">
        <v>550</v>
      </c>
      <c r="G66" s="3" t="str">
        <v>N/A</v>
      </c>
      <c r="H66" s="3" t="str">
        <v>N/A</v>
      </c>
      <c r="I66" s="4" t="str">
        <v>N/A</v>
      </c>
      <c r="J66" s="4" t="str">
        <v>N/A</v>
      </c>
      <c r="K66" s="1" t="str">
        <v>N/A</v>
      </c>
      <c r="L66" s="1" t="str">
        <v>N/A</v>
      </c>
      <c r="M66" s="3">
        <v>5</v>
      </c>
      <c r="N66" s="3">
        <f>D66/M66</f>
        <v>150</v>
      </c>
      <c r="O66" s="1">
        <f>F66/N66</f>
        <v>3.6667</v>
      </c>
      <c r="P66" s="3">
        <v>5</v>
      </c>
      <c r="Q66" s="3">
        <f>D66/P66</f>
        <v>150</v>
      </c>
      <c r="R66" s="1">
        <f>F66/Q66</f>
        <v>3.6667</v>
      </c>
      <c r="S66" s="3" t="str">
        <v>N/A</v>
      </c>
      <c r="T66" s="3" t="str">
        <v>N/A</v>
      </c>
      <c r="U66" s="3" t="str">
        <v>N/A</v>
      </c>
    </row>
    <row r="67" ht="15.75" customHeight="1">
      <c r="A67" t="str">
        <v>JollyCow</v>
      </c>
      <c r="B67" t="str">
        <v>CREAM_SERIES</v>
      </c>
      <c r="C67" t="str">
        <v>Homemade Cold Foam</v>
      </c>
      <c r="D67">
        <v>1000</v>
      </c>
      <c r="E67" s="1" t="str">
        <v>ml</v>
      </c>
      <c r="F67" s="1">
        <v>93.6</v>
      </c>
      <c r="G67" s="3" t="str">
        <v>N/A</v>
      </c>
      <c r="H67" s="3" t="str">
        <v>N/A</v>
      </c>
      <c r="I67" s="4" t="str">
        <v>N/A</v>
      </c>
      <c r="J67" s="4" t="str">
        <v>N/A</v>
      </c>
      <c r="K67" s="1" t="str">
        <v>N/A</v>
      </c>
      <c r="L67" s="1" t="str">
        <v>N/A</v>
      </c>
      <c r="M67" s="3">
        <v>10</v>
      </c>
      <c r="N67" s="3">
        <f>D67/M67</f>
        <v>100</v>
      </c>
      <c r="O67" s="1">
        <f>F67/N67</f>
        <v>0.936</v>
      </c>
      <c r="P67" s="3">
        <v>10</v>
      </c>
      <c r="Q67" s="3">
        <f>D67/P67</f>
        <v>100</v>
      </c>
      <c r="R67" s="1">
        <f>F67/Q67</f>
        <v>0.936</v>
      </c>
      <c r="S67" s="3" t="str">
        <v>N/A</v>
      </c>
      <c r="T67" s="3" t="str">
        <v>N/A</v>
      </c>
      <c r="U67" s="3" t="str">
        <v>N/A</v>
      </c>
    </row>
    <row r="68" ht="15.75" customHeight="1">
      <c r="A68" t="str">
        <v>All Purpose Cream (Nestle)</v>
      </c>
      <c r="B68" t="str">
        <v>BREVE_SERIES</v>
      </c>
      <c r="C68" t="str">
        <v>Seasalt Breve</v>
      </c>
      <c r="D68">
        <v>250</v>
      </c>
      <c r="E68" s="1" t="str">
        <v>ml</v>
      </c>
      <c r="F68" s="1">
        <v>63.5</v>
      </c>
      <c r="G68" s="3" t="str">
        <v>N/A</v>
      </c>
      <c r="H68" s="3" t="str">
        <v>N/A</v>
      </c>
      <c r="I68" s="4" t="str">
        <v>N/A</v>
      </c>
      <c r="J68" s="4" t="str">
        <v>N/A</v>
      </c>
      <c r="K68" s="1" t="str">
        <v>N/A</v>
      </c>
      <c r="L68" s="1" t="str">
        <v>N/A</v>
      </c>
      <c r="M68" s="3">
        <v>20</v>
      </c>
      <c r="N68" s="3">
        <f>D68/M68</f>
        <v>12.5</v>
      </c>
      <c r="O68" s="1">
        <f>F68/N68</f>
        <v>5.08</v>
      </c>
      <c r="P68" s="3">
        <v>20</v>
      </c>
      <c r="Q68" s="3">
        <f>D68/P68</f>
        <v>12.5</v>
      </c>
      <c r="R68" s="1">
        <f>F68/Q68</f>
        <v>5.08</v>
      </c>
      <c r="S68" s="3" t="str">
        <v>N/A</v>
      </c>
      <c r="T68" s="3" t="str">
        <v>N/A</v>
      </c>
      <c r="U68" s="3" t="str">
        <v>N/A</v>
      </c>
    </row>
    <row r="69" ht="15.75" customHeight="1">
      <c r="A69" t="str">
        <v>Vanilla Syrup</v>
      </c>
      <c r="B69" t="str">
        <v>BREVE_SERIES</v>
      </c>
      <c r="C69" t="str">
        <v>Seasalt Breve</v>
      </c>
      <c r="D69">
        <v>750</v>
      </c>
      <c r="E69" s="1" t="str">
        <v>ml</v>
      </c>
      <c r="F69" s="1">
        <v>550</v>
      </c>
      <c r="G69" s="3" t="str">
        <v>N/A</v>
      </c>
      <c r="H69" s="3" t="str">
        <v>N/A</v>
      </c>
      <c r="I69" s="4" t="str">
        <v>N/A</v>
      </c>
      <c r="J69" s="4" t="str">
        <v>N/A</v>
      </c>
      <c r="K69" s="1" t="str">
        <v>N/A</v>
      </c>
      <c r="L69" s="1" t="str">
        <v>N/A</v>
      </c>
      <c r="M69" s="3">
        <v>10</v>
      </c>
      <c r="N69" s="3">
        <f>D69/M69</f>
        <v>75</v>
      </c>
      <c r="O69" s="1">
        <f>F69/N69</f>
        <v>7.3333</v>
      </c>
      <c r="P69" s="3">
        <v>10</v>
      </c>
      <c r="Q69" s="3">
        <f>D69/P69</f>
        <v>75</v>
      </c>
      <c r="R69" s="1">
        <f>F69/Q69</f>
        <v>7.3333</v>
      </c>
      <c r="S69" s="3" t="str">
        <v>N/A</v>
      </c>
      <c r="T69" s="3" t="str">
        <v>N/A</v>
      </c>
      <c r="U69" s="3" t="str">
        <v>N/A</v>
      </c>
    </row>
    <row r="70" ht="15.75" customHeight="1">
      <c r="A70" t="str">
        <v>JollyCow</v>
      </c>
      <c r="B70" t="str">
        <v>BREVE_SERIES</v>
      </c>
      <c r="C70" t="str">
        <v>Seasalt Breve</v>
      </c>
      <c r="D70">
        <v>1000</v>
      </c>
      <c r="E70" s="1" t="str">
        <v>ml</v>
      </c>
      <c r="F70" s="1">
        <v>93.6</v>
      </c>
      <c r="G70" s="3" t="str">
        <v>N/A</v>
      </c>
      <c r="H70" s="3" t="str">
        <v>N/A</v>
      </c>
      <c r="I70" s="4" t="str">
        <v>N/A</v>
      </c>
      <c r="J70" s="4" t="str">
        <v>N/A</v>
      </c>
      <c r="K70" s="1" t="str">
        <v>N/A</v>
      </c>
      <c r="L70" s="1" t="str">
        <v>N/A</v>
      </c>
      <c r="M70" s="3">
        <v>20</v>
      </c>
      <c r="N70" s="3">
        <f>D70/M70</f>
        <v>50</v>
      </c>
      <c r="O70" s="1">
        <f>F70/N70</f>
        <v>1.872</v>
      </c>
      <c r="P70" s="3">
        <v>20</v>
      </c>
      <c r="Q70" s="3">
        <f>D70/P70</f>
        <v>50</v>
      </c>
      <c r="R70" s="1">
        <f>F70/Q70</f>
        <v>1.872</v>
      </c>
      <c r="S70" s="3" t="str">
        <v>N/A</v>
      </c>
      <c r="T70" s="3" t="str">
        <v>N/A</v>
      </c>
      <c r="U70" s="3" t="str">
        <v>N/A</v>
      </c>
    </row>
    <row r="71" ht="15.75" customHeight="1">
      <c r="A71" t="str">
        <v>Iodized Seasalt</v>
      </c>
      <c r="B71" t="str">
        <v>BREVE_SERIES</v>
      </c>
      <c r="C71" t="str">
        <v>Seasalt Breve</v>
      </c>
      <c r="D71">
        <v>250</v>
      </c>
      <c r="E71" s="1" t="str">
        <v>g</v>
      </c>
      <c r="F71" s="1">
        <v>11.75</v>
      </c>
      <c r="G71" s="3" t="str">
        <v>N/A</v>
      </c>
      <c r="H71" s="3" t="str">
        <v>N/A</v>
      </c>
      <c r="I71" s="4" t="str">
        <v>N/A</v>
      </c>
      <c r="J71" s="4" t="str">
        <v>N/A</v>
      </c>
      <c r="K71" s="1" t="str">
        <v>N/A</v>
      </c>
      <c r="L71" s="1" t="str">
        <v>N/A</v>
      </c>
      <c r="M71" s="3">
        <v>0.75</v>
      </c>
      <c r="N71" s="3">
        <f>D71/M71</f>
        <v>333.3333333</v>
      </c>
      <c r="O71" s="1">
        <f>F71/N71</f>
        <v>0.03525</v>
      </c>
      <c r="P71" s="3">
        <v>0.75</v>
      </c>
      <c r="Q71" s="3">
        <f>D71/P71</f>
        <v>333.3333333</v>
      </c>
      <c r="R71" s="1">
        <f>F71/Q71</f>
        <v>0.03525</v>
      </c>
      <c r="S71" s="3" t="str">
        <v>N/A</v>
      </c>
      <c r="T71" s="3" t="str">
        <v>N/A</v>
      </c>
      <c r="U71" s="3" t="str">
        <v>N/A</v>
      </c>
    </row>
    <row r="72" ht="15.75" customHeight="1">
      <c r="A72" t="str">
        <v>All Purpose Cream (Nestle)</v>
      </c>
      <c r="B72" t="str">
        <v>CREAM_CHEESE_SERIES</v>
      </c>
      <c r="C72" t="str">
        <v>Tiramisu Breve</v>
      </c>
      <c r="D72">
        <v>250</v>
      </c>
      <c r="E72" s="1" t="str">
        <v>ml</v>
      </c>
      <c r="F72" s="1">
        <v>63.5</v>
      </c>
      <c r="G72" s="3" t="str">
        <v>N/A</v>
      </c>
      <c r="H72" s="3" t="str">
        <v>N/A</v>
      </c>
      <c r="I72" s="4" t="str">
        <v>N/A</v>
      </c>
      <c r="J72" s="4" t="str">
        <v>N/A</v>
      </c>
      <c r="K72" s="1" t="str">
        <v>N/A</v>
      </c>
      <c r="L72" s="1" t="str">
        <v>N/A</v>
      </c>
      <c r="M72" s="3">
        <v>20</v>
      </c>
      <c r="N72" s="3">
        <f>D72/M72</f>
        <v>12.5</v>
      </c>
      <c r="O72" s="1">
        <f>F72/N72</f>
        <v>5.08</v>
      </c>
      <c r="P72" s="3">
        <v>20</v>
      </c>
      <c r="Q72" s="3">
        <f>D72/P72</f>
        <v>12.5</v>
      </c>
      <c r="R72" s="1">
        <f>F72/Q72</f>
        <v>5.08</v>
      </c>
      <c r="S72" s="3" t="str">
        <v>N/A</v>
      </c>
      <c r="T72" s="3" t="str">
        <v>N/A</v>
      </c>
      <c r="U72" s="3" t="str">
        <v>N/A</v>
      </c>
    </row>
    <row r="73" ht="15.75" customHeight="1">
      <c r="A73" t="str">
        <v>Vanilla Extract</v>
      </c>
      <c r="B73" t="str">
        <v>CREAM_CHEESE_SERIES</v>
      </c>
      <c r="C73" t="str">
        <v>Tiramisu Breve</v>
      </c>
      <c r="D73">
        <v>20</v>
      </c>
      <c r="E73" s="1" t="str">
        <v>ml</v>
      </c>
      <c r="F73" s="1">
        <v>54.5</v>
      </c>
      <c r="G73" s="3" t="str">
        <v>N/A</v>
      </c>
      <c r="H73" s="3" t="str">
        <v>N/A</v>
      </c>
      <c r="I73" s="4" t="str">
        <v>N/A</v>
      </c>
      <c r="J73" s="4" t="str">
        <v>N/A</v>
      </c>
      <c r="K73" s="1" t="str">
        <v>N/A</v>
      </c>
      <c r="L73" s="1" t="str">
        <v>N/A</v>
      </c>
      <c r="M73" s="3">
        <v>2</v>
      </c>
      <c r="N73" s="3">
        <f>D73/M73</f>
        <v>10</v>
      </c>
      <c r="O73" s="1">
        <f>F73/N73</f>
        <v>5.45</v>
      </c>
      <c r="P73" s="3">
        <v>2</v>
      </c>
      <c r="Q73" s="3">
        <f>D73/P73</f>
        <v>10</v>
      </c>
      <c r="R73" s="1">
        <f>F73/Q73</f>
        <v>5.45</v>
      </c>
      <c r="S73" s="3" t="str">
        <v>N/A</v>
      </c>
      <c r="T73" s="3" t="str">
        <v>N/A</v>
      </c>
      <c r="U73" s="3" t="str">
        <v>N/A</v>
      </c>
    </row>
    <row r="74" ht="15.75" customHeight="1">
      <c r="A74" t="str">
        <v>JollyCow</v>
      </c>
      <c r="B74" t="str">
        <v>CREAM_CHEESE_SERIES</v>
      </c>
      <c r="C74" t="str">
        <v>Tiramisu Breve</v>
      </c>
      <c r="D74">
        <v>1000</v>
      </c>
      <c r="E74" s="1" t="str">
        <v>ml</v>
      </c>
      <c r="F74" s="1">
        <v>93.6</v>
      </c>
      <c r="G74" s="3" t="str">
        <v>N/A</v>
      </c>
      <c r="H74" s="3" t="str">
        <v>N/A</v>
      </c>
      <c r="I74" s="4" t="str">
        <v>N/A</v>
      </c>
      <c r="J74" s="4" t="str">
        <v>N/A</v>
      </c>
      <c r="K74" s="1" t="str">
        <v>N/A</v>
      </c>
      <c r="L74" s="1" t="str">
        <v>N/A</v>
      </c>
      <c r="M74" s="3">
        <v>20</v>
      </c>
      <c r="N74" s="3">
        <f>D74/M74</f>
        <v>50</v>
      </c>
      <c r="O74" s="1">
        <f>F74/N74</f>
        <v>1.872</v>
      </c>
      <c r="P74" s="3">
        <v>20</v>
      </c>
      <c r="Q74" s="3">
        <f>D74/P74</f>
        <v>50</v>
      </c>
      <c r="R74" s="1">
        <f>F74/Q74</f>
        <v>1.872</v>
      </c>
      <c r="S74" s="3" t="str">
        <v>N/A</v>
      </c>
      <c r="T74" s="3" t="str">
        <v>N/A</v>
      </c>
      <c r="U74" s="3" t="str">
        <v>N/A</v>
      </c>
    </row>
    <row r="75" ht="15.75" customHeight="1">
      <c r="A75" t="str">
        <v>Cream Cheese (Magnolia)</v>
      </c>
      <c r="B75" t="str">
        <v>CREAM_CHEESE_SERIES</v>
      </c>
      <c r="C75" t="str">
        <v>Tiramisu Breve</v>
      </c>
      <c r="D75">
        <v>225</v>
      </c>
      <c r="E75" s="1" t="str">
        <v>g</v>
      </c>
      <c r="F75" s="1">
        <v>162.25</v>
      </c>
      <c r="G75" s="3" t="str">
        <v>N/A</v>
      </c>
      <c r="H75" s="3" t="str">
        <v>N/A</v>
      </c>
      <c r="I75" s="4" t="str">
        <v>N/A</v>
      </c>
      <c r="J75" s="4" t="str">
        <v>N/A</v>
      </c>
      <c r="K75" s="1" t="str">
        <v>N/A</v>
      </c>
      <c r="L75" s="1" t="str">
        <v>N/A</v>
      </c>
      <c r="M75" s="3">
        <v>20</v>
      </c>
      <c r="N75" s="3">
        <f>D75/M75</f>
        <v>11.25</v>
      </c>
      <c r="O75" s="1">
        <f>F75/N75</f>
        <v>14.4222</v>
      </c>
      <c r="P75" s="3">
        <v>20</v>
      </c>
      <c r="Q75" s="3">
        <f>D75/P75</f>
        <v>11.25</v>
      </c>
      <c r="R75" s="1">
        <f>F75/Q75</f>
        <v>14.4222</v>
      </c>
      <c r="S75" s="3" t="str">
        <v>N/A</v>
      </c>
      <c r="T75" s="3" t="str">
        <v>N/A</v>
      </c>
      <c r="U75" s="3" t="str">
        <v>N/A</v>
      </c>
    </row>
    <row r="76" ht="15.75" customHeight="1">
      <c r="A76" t="str">
        <v>White Sugar</v>
      </c>
      <c r="B76" t="str">
        <v>CREAM_CHEESE_SERIES</v>
      </c>
      <c r="C76" t="str">
        <v>Tiramisu Breve</v>
      </c>
      <c r="D76">
        <v>1000</v>
      </c>
      <c r="E76" s="1" t="str">
        <v>g</v>
      </c>
      <c r="F76" s="1">
        <v>92.5</v>
      </c>
      <c r="G76" s="3" t="str">
        <v>N/A</v>
      </c>
      <c r="H76" s="3" t="str">
        <v>N/A</v>
      </c>
      <c r="I76" s="4" t="str">
        <v>N/A</v>
      </c>
      <c r="J76" s="4" t="str">
        <v>N/A</v>
      </c>
      <c r="K76" s="1" t="str">
        <v>N/A</v>
      </c>
      <c r="L76" s="1" t="str">
        <v>N/A</v>
      </c>
      <c r="M76" s="3">
        <v>5</v>
      </c>
      <c r="N76" s="3">
        <f>D76/M76</f>
        <v>200</v>
      </c>
      <c r="O76" s="1">
        <f>F76/N76</f>
        <v>0.4625</v>
      </c>
      <c r="P76" s="3">
        <v>5</v>
      </c>
      <c r="Q76" s="3">
        <f>D76/P76</f>
        <v>200</v>
      </c>
      <c r="R76" s="1">
        <f>F76/Q76</f>
        <v>0.4625</v>
      </c>
      <c r="S76" s="3" t="str">
        <v>N/A</v>
      </c>
      <c r="T76" s="3" t="str">
        <v>N/A</v>
      </c>
      <c r="U76" s="3" t="str">
        <v>N/A</v>
      </c>
    </row>
    <row r="77" ht="15.75" customHeight="1">
      <c r="A77" t="str">
        <v>Lady Finger (Broas)</v>
      </c>
      <c r="B77" t="str">
        <v>CREAM_CHEESE_SERIES</v>
      </c>
      <c r="C77" t="str">
        <v>Tiramisu Breve</v>
      </c>
      <c r="D77">
        <v>35</v>
      </c>
      <c r="E77" s="1" t="str">
        <v>pcs</v>
      </c>
      <c r="F77" s="1">
        <v>319</v>
      </c>
      <c r="G77" s="3" t="str">
        <v>N/A</v>
      </c>
      <c r="H77" s="3" t="str">
        <v>N/A</v>
      </c>
      <c r="I77" s="4" t="str">
        <v>N/A</v>
      </c>
      <c r="J77" s="4" t="str">
        <v>N/A</v>
      </c>
      <c r="K77" s="1" t="str">
        <v>N/A</v>
      </c>
      <c r="L77" s="1" t="str">
        <v>N/A</v>
      </c>
      <c r="M77" s="3">
        <v>1</v>
      </c>
      <c r="N77" s="3">
        <f>D77/M77</f>
        <v>35</v>
      </c>
      <c r="O77" s="1">
        <f>F77/N77</f>
        <v>9.114285714</v>
      </c>
      <c r="P77" s="3">
        <v>1</v>
      </c>
      <c r="Q77" s="3">
        <f>D77/P77</f>
        <v>35</v>
      </c>
      <c r="R77" s="1">
        <f>F77/Q77</f>
        <v>9.114285714</v>
      </c>
      <c r="S77" s="3" t="str">
        <v>N/A</v>
      </c>
      <c r="T77" s="3" t="str">
        <v>N/A</v>
      </c>
      <c r="U77" s="3" t="str">
        <v>N/A</v>
      </c>
    </row>
    <row r="78" ht="15.75" customHeight="1">
      <c r="A78" t="str">
        <v>8oz paper cup</v>
      </c>
      <c r="B78" t="str">
        <v>PACKAGING</v>
      </c>
      <c r="C78" t="str">
        <v>N/A</v>
      </c>
      <c r="D78">
        <v>100</v>
      </c>
      <c r="E78" s="1" t="str">
        <v>pcs</v>
      </c>
      <c r="F78" s="1">
        <v>155</v>
      </c>
      <c r="G78" s="3" t="str">
        <v>N/A</v>
      </c>
      <c r="H78" s="3">
        <v>1</v>
      </c>
      <c r="I78" s="4" t="str">
        <v>N/A</v>
      </c>
      <c r="J78" s="4">
        <f>D78/H78</f>
        <v>100</v>
      </c>
      <c r="K78" s="1" t="str">
        <v>N/A</v>
      </c>
      <c r="L78" s="1">
        <f>F78/J78</f>
        <v>1.55</v>
      </c>
      <c r="M78" s="3" t="str">
        <v>N/A</v>
      </c>
      <c r="N78" s="3" t="str">
        <v>N/A</v>
      </c>
      <c r="O78" s="3" t="str">
        <v>N/A</v>
      </c>
      <c r="P78" s="3" t="str">
        <v>N/A</v>
      </c>
      <c r="Q78" s="3" t="str">
        <v>N/A</v>
      </c>
      <c r="R78" s="3" t="str">
        <v>N/A</v>
      </c>
      <c r="S78" s="3" t="str">
        <v>N/A</v>
      </c>
      <c r="T78" s="3" t="str">
        <v>N/A</v>
      </c>
      <c r="U78" s="3" t="str">
        <v>N/A</v>
      </c>
    </row>
    <row r="79" ht="15.75" customHeight="1">
      <c r="A79" t="str">
        <v>Plastic Lids - paper cup</v>
      </c>
      <c r="B79" t="str">
        <v>PACKAGING</v>
      </c>
      <c r="C79" t="str">
        <v>N/A</v>
      </c>
      <c r="D79">
        <v>100</v>
      </c>
      <c r="E79" s="1" t="str">
        <v>pcs</v>
      </c>
      <c r="F79" s="1">
        <v>124</v>
      </c>
      <c r="G79" s="3" t="str">
        <v>N/A</v>
      </c>
      <c r="H79" s="3">
        <v>1</v>
      </c>
      <c r="I79" s="4" t="str">
        <v>N/A</v>
      </c>
      <c r="J79" s="4">
        <f>D79/H79</f>
        <v>100</v>
      </c>
      <c r="K79" s="1" t="str">
        <v>N/A</v>
      </c>
      <c r="L79" s="1">
        <f>F79/J79</f>
        <v>1.24</v>
      </c>
      <c r="M79" s="3" t="str">
        <v>N/A</v>
      </c>
      <c r="N79" s="3" t="str">
        <v>N/A</v>
      </c>
      <c r="O79" s="3" t="str">
        <v>N/A</v>
      </c>
      <c r="P79" s="3" t="str">
        <v>N/A</v>
      </c>
      <c r="Q79" s="3" t="str">
        <v>N/A</v>
      </c>
      <c r="R79" s="3" t="str">
        <v>N/A</v>
      </c>
      <c r="S79" s="3" t="str">
        <v>N/A</v>
      </c>
      <c r="T79" s="3" t="str">
        <v>N/A</v>
      </c>
      <c r="U79" s="3" t="str">
        <v>N/A</v>
      </c>
    </row>
    <row r="80" ht="15.75" customHeight="1">
      <c r="A80" t="str">
        <v>12oz cups - 95mm</v>
      </c>
      <c r="B80" t="str">
        <v>PACKAGING</v>
      </c>
      <c r="C80" t="str">
        <v>N/A</v>
      </c>
      <c r="D80">
        <v>1000</v>
      </c>
      <c r="E80" s="1" t="str">
        <v>pcs</v>
      </c>
      <c r="F80" s="1">
        <v>2100</v>
      </c>
      <c r="G80" s="3" t="str">
        <v>N/A</v>
      </c>
      <c r="H80" s="3" t="str">
        <v>N/A</v>
      </c>
      <c r="I80" s="4" t="str">
        <v>N/A</v>
      </c>
      <c r="J80" s="4" t="str">
        <v>N/A</v>
      </c>
      <c r="K80" s="1" t="str">
        <v>N/A</v>
      </c>
      <c r="L80" s="1" t="str">
        <v>N/A</v>
      </c>
      <c r="M80" s="3">
        <v>1</v>
      </c>
      <c r="N80" s="3">
        <f>D80/M80</f>
        <v>1000</v>
      </c>
      <c r="O80" s="1">
        <f>F80/N80</f>
        <v>2.1</v>
      </c>
      <c r="P80" s="3" t="str">
        <v>N/A</v>
      </c>
      <c r="Q80" s="3" t="str">
        <v>N/A</v>
      </c>
      <c r="R80" s="3" t="str">
        <v>N/A</v>
      </c>
      <c r="S80" s="3" t="str">
        <v>N/A</v>
      </c>
      <c r="T80" s="3" t="str">
        <v>N/A</v>
      </c>
      <c r="U80" s="3" t="str">
        <v>N/A</v>
      </c>
    </row>
    <row r="81" ht="15.75" customHeight="1">
      <c r="A81" t="str">
        <v>16oz cups - 95mm</v>
      </c>
      <c r="B81" t="str">
        <v>PACKAGING</v>
      </c>
      <c r="C81" t="str">
        <v>N/A</v>
      </c>
      <c r="D81">
        <v>1000</v>
      </c>
      <c r="E81" s="1" t="str">
        <v>pcs</v>
      </c>
      <c r="F81" s="1">
        <v>2400</v>
      </c>
      <c r="G81" s="3" t="str">
        <v>N/A</v>
      </c>
      <c r="H81" s="3" t="str">
        <v>N/A</v>
      </c>
      <c r="I81" s="4" t="str">
        <v>N/A</v>
      </c>
      <c r="J81" s="4" t="str">
        <v>N/A</v>
      </c>
      <c r="K81" s="1" t="str">
        <v>N/A</v>
      </c>
      <c r="L81" s="1" t="str">
        <v>N/A</v>
      </c>
      <c r="M81" s="3" t="str">
        <v>N/A</v>
      </c>
      <c r="N81" s="3" t="str">
        <v>N/A</v>
      </c>
      <c r="O81" s="3" t="str">
        <v>N/A</v>
      </c>
      <c r="P81" s="3">
        <v>1</v>
      </c>
      <c r="Q81" s="3">
        <f>D81/P81</f>
        <v>1000</v>
      </c>
      <c r="R81" s="1">
        <f>F81/Q81</f>
        <v>2.4</v>
      </c>
      <c r="S81" s="3" t="str">
        <v>N/A</v>
      </c>
      <c r="T81" s="3" t="str">
        <v>N/A</v>
      </c>
      <c r="U81" s="3" t="str">
        <v>N/A</v>
      </c>
    </row>
    <row r="82" ht="15.75" customHeight="1">
      <c r="A82" t="str">
        <v>Sip Lids - 95mm</v>
      </c>
      <c r="B82" t="str">
        <v>PACKAGING</v>
      </c>
      <c r="C82" t="str">
        <v>N/A</v>
      </c>
      <c r="D82">
        <v>1000</v>
      </c>
      <c r="E82" s="1" t="str">
        <v>pcs</v>
      </c>
      <c r="F82" s="1">
        <v>1000</v>
      </c>
      <c r="G82" s="3" t="str">
        <v>N/A</v>
      </c>
      <c r="H82" s="3" t="str">
        <v>N/A</v>
      </c>
      <c r="I82" s="4" t="str">
        <v>N/A</v>
      </c>
      <c r="J82" s="4" t="str">
        <v>N/A</v>
      </c>
      <c r="K82" s="1" t="str">
        <v>N/A</v>
      </c>
      <c r="L82" s="1" t="str">
        <v>N/A</v>
      </c>
      <c r="M82" s="3">
        <v>1</v>
      </c>
      <c r="N82" s="3">
        <f>D82/M82</f>
        <v>1000</v>
      </c>
      <c r="O82" s="1">
        <f>F82/N82</f>
        <v>1</v>
      </c>
      <c r="P82" s="3">
        <v>1</v>
      </c>
      <c r="Q82" s="3">
        <f>D82/P82</f>
        <v>1000</v>
      </c>
      <c r="R82" s="1">
        <f>F82/Q82</f>
        <v>1</v>
      </c>
      <c r="S82" s="3" t="str">
        <v>N/A</v>
      </c>
      <c r="T82" s="3" t="str">
        <v>N/A</v>
      </c>
      <c r="U82" s="3" t="str">
        <v>N/A</v>
      </c>
    </row>
    <row r="83" ht="15.75" customHeight="1">
      <c r="A83" t="str">
        <v>Dome Lids - 95mm</v>
      </c>
      <c r="B83" t="str">
        <v>PACKAGING</v>
      </c>
      <c r="C83" t="str">
        <v>N/A</v>
      </c>
      <c r="D83">
        <v>1000</v>
      </c>
      <c r="E83" s="1" t="str">
        <v>pcs</v>
      </c>
      <c r="F83" s="1">
        <v>2280</v>
      </c>
      <c r="G83" s="3" t="str">
        <v>N/A</v>
      </c>
      <c r="H83" s="3" t="str">
        <v>N/A</v>
      </c>
      <c r="I83" s="4" t="str">
        <v>N/A</v>
      </c>
      <c r="J83" s="4" t="str">
        <v>N/A</v>
      </c>
      <c r="K83" s="1" t="str">
        <v>N/A</v>
      </c>
      <c r="L83" s="1" t="str">
        <v>N/A</v>
      </c>
      <c r="M83" s="3">
        <v>1</v>
      </c>
      <c r="N83" s="3">
        <f>D83/M83</f>
        <v>1000</v>
      </c>
      <c r="O83" s="1">
        <f>F83/N83</f>
        <v>2.28</v>
      </c>
      <c r="P83" s="3">
        <v>1</v>
      </c>
      <c r="Q83" s="3">
        <f>D83/P83</f>
        <v>1000</v>
      </c>
      <c r="R83" s="1">
        <f>F83/Q83</f>
        <v>2.28</v>
      </c>
      <c r="S83" s="3" t="str">
        <v>N/A</v>
      </c>
      <c r="T83" s="3" t="str">
        <v>N/A</v>
      </c>
      <c r="U83" s="3" t="str">
        <v>N/A</v>
      </c>
    </row>
    <row r="84" ht="15.75" customHeight="1">
      <c r="A84" t="str">
        <v>21cm Thin Straws</v>
      </c>
      <c r="B84" t="str">
        <v>PACKAGING</v>
      </c>
      <c r="C84" t="str">
        <v>N/A</v>
      </c>
      <c r="D84">
        <v>100</v>
      </c>
      <c r="E84" s="1" t="str">
        <v>pcs</v>
      </c>
      <c r="F84" s="1">
        <v>39</v>
      </c>
      <c r="G84" s="3" t="str">
        <v>N/A</v>
      </c>
      <c r="H84" s="3" t="str">
        <v>N/A</v>
      </c>
      <c r="I84" s="4" t="str">
        <v>N/A</v>
      </c>
      <c r="J84" s="4" t="str">
        <v>N/A</v>
      </c>
      <c r="K84" s="1" t="str">
        <v>N/A</v>
      </c>
      <c r="L84" s="1" t="str">
        <v>N/A</v>
      </c>
      <c r="M84" s="3">
        <v>1</v>
      </c>
      <c r="N84" s="3">
        <f>D84/M84</f>
        <v>100</v>
      </c>
      <c r="O84" s="1">
        <f>F84/N84</f>
        <v>0.39</v>
      </c>
      <c r="P84" s="3">
        <v>1</v>
      </c>
      <c r="Q84" s="3">
        <f>D84/P84</f>
        <v>100</v>
      </c>
      <c r="R84" s="1">
        <f>F84/Q84</f>
        <v>0.39</v>
      </c>
      <c r="S84" s="3" t="str">
        <v>N/A</v>
      </c>
      <c r="T84" s="3" t="str">
        <v>N/A</v>
      </c>
      <c r="U84" s="3" t="str">
        <v>N/A</v>
      </c>
    </row>
    <row r="85" ht="15.75" customHeight="1">
      <c r="A85" t="str">
        <v>21cm Bobba Straws</v>
      </c>
      <c r="B85" t="str">
        <v>PACKAGING</v>
      </c>
      <c r="C85" t="str">
        <v>N/A</v>
      </c>
      <c r="D85">
        <v>100</v>
      </c>
      <c r="E85" s="1" t="str">
        <v>pcs</v>
      </c>
      <c r="F85" s="1">
        <v>65</v>
      </c>
      <c r="G85" s="3" t="str">
        <v>N/A</v>
      </c>
      <c r="H85" s="3" t="str">
        <v>N/A</v>
      </c>
      <c r="I85" s="4" t="str">
        <v>N/A</v>
      </c>
      <c r="J85" s="4" t="str">
        <v>N/A</v>
      </c>
      <c r="K85" s="1" t="str">
        <v>N/A</v>
      </c>
      <c r="L85" s="1" t="str">
        <v>N/A</v>
      </c>
      <c r="M85" s="3">
        <v>1</v>
      </c>
      <c r="N85" s="3">
        <f>D85/M85</f>
        <v>100</v>
      </c>
      <c r="O85" s="1">
        <f>F85/N85</f>
        <v>0.65</v>
      </c>
      <c r="P85" s="3">
        <v>1</v>
      </c>
      <c r="Q85" s="3">
        <f>D85/P85</f>
        <v>100</v>
      </c>
      <c r="R85" s="1">
        <f>F85/Q85</f>
        <v>0.65</v>
      </c>
      <c r="S85" s="3" t="str">
        <v>N/A</v>
      </c>
      <c r="T85" s="3" t="str">
        <v>N/A</v>
      </c>
      <c r="U85" s="3" t="str">
        <v>N/A</v>
      </c>
    </row>
    <row r="86" ht="15.75" customHeight="1">
      <c r="A86" t="str">
        <v>Double Plastic Bag</v>
      </c>
      <c r="B86" t="str">
        <v>PACKAGING</v>
      </c>
      <c r="C86" t="str">
        <v>N/A</v>
      </c>
      <c r="D86">
        <v>100</v>
      </c>
      <c r="E86" s="1" t="str">
        <v>pcs</v>
      </c>
      <c r="F86" s="1">
        <v>80</v>
      </c>
      <c r="G86" s="3" t="str">
        <v>N/A</v>
      </c>
      <c r="H86" s="3" t="str">
        <v>N/A</v>
      </c>
      <c r="I86" s="4" t="str">
        <v>N/A</v>
      </c>
      <c r="J86" s="4" t="str">
        <v>N/A</v>
      </c>
      <c r="K86" s="1" t="str">
        <v>N/A</v>
      </c>
      <c r="L86" s="1" t="str">
        <v>N/A</v>
      </c>
      <c r="M86" s="3">
        <v>1</v>
      </c>
      <c r="N86" s="3">
        <f>D86/M86</f>
        <v>100</v>
      </c>
      <c r="O86" s="1">
        <f>F86/N86</f>
        <v>0.8</v>
      </c>
      <c r="P86" s="3">
        <v>1</v>
      </c>
      <c r="Q86" s="3">
        <f>D86/P86</f>
        <v>100</v>
      </c>
      <c r="R86" s="1">
        <f>F86/Q86</f>
        <v>0.8</v>
      </c>
      <c r="S86" s="3" t="str">
        <v>N/A</v>
      </c>
      <c r="T86" s="3" t="str">
        <v>N/A</v>
      </c>
      <c r="U86" s="3" t="str">
        <v>N/A</v>
      </c>
    </row>
    <row r="87" ht="15.75" customHeight="1">
      <c r="A87" t="str">
        <v>Single Plastic Bag</v>
      </c>
      <c r="B87" t="str">
        <v>PACKAGING</v>
      </c>
      <c r="C87" t="str">
        <v>N/A</v>
      </c>
      <c r="D87">
        <v>100</v>
      </c>
      <c r="E87" s="1" t="str">
        <v>pcs</v>
      </c>
      <c r="F87" s="1">
        <v>63</v>
      </c>
      <c r="G87" s="3" t="str">
        <v>N/A</v>
      </c>
      <c r="H87" s="3" t="str">
        <v>N/A</v>
      </c>
      <c r="I87" s="4" t="str">
        <v>N/A</v>
      </c>
      <c r="J87" s="4" t="str">
        <v>N/A</v>
      </c>
      <c r="K87" s="1" t="str">
        <v>N/A</v>
      </c>
      <c r="L87" s="1" t="str">
        <v>N/A</v>
      </c>
      <c r="M87" s="3">
        <v>1</v>
      </c>
      <c r="N87" s="3">
        <f>D87/M87</f>
        <v>100</v>
      </c>
      <c r="O87" s="1">
        <f>F87/N87</f>
        <v>0.63</v>
      </c>
      <c r="P87" s="3">
        <v>1</v>
      </c>
      <c r="Q87" s="3">
        <f>D87/P87</f>
        <v>100</v>
      </c>
      <c r="R87" s="1">
        <f>F87/Q87</f>
        <v>0.63</v>
      </c>
      <c r="S87" s="3" t="str">
        <v>N/A</v>
      </c>
      <c r="T87" s="3" t="str">
        <v>N/A</v>
      </c>
      <c r="U87" s="3" t="str">
        <v>N/A</v>
      </c>
    </row>
    <row r="88" ht="15.75" customHeight="1">
      <c r="A88" t="str">
        <v>Devondale</v>
      </c>
      <c r="B88" t="str">
        <v>DRINK_SPECIFIC</v>
      </c>
      <c r="C88" t="str">
        <v>Strawberry Latte</v>
      </c>
      <c r="D88">
        <f>1000</f>
        <v>1000</v>
      </c>
      <c r="E88" s="1" t="str">
        <v>ml</v>
      </c>
      <c r="F88" s="1">
        <v>108.75</v>
      </c>
      <c r="G88" s="3" t="str">
        <v>N/A</v>
      </c>
      <c r="H88" s="3" t="str">
        <v>N/A</v>
      </c>
      <c r="I88" s="4" t="str">
        <v>N/A</v>
      </c>
      <c r="J88" s="4" t="str">
        <v>N/A</v>
      </c>
      <c r="K88" s="1" t="str">
        <v>N/A</v>
      </c>
      <c r="L88" s="1" t="str">
        <v>N/A</v>
      </c>
      <c r="M88" s="3">
        <v>30</v>
      </c>
      <c r="N88" s="3">
        <f>D88/M88</f>
        <v>33.33333333</v>
      </c>
      <c r="O88" s="1">
        <f>F88/N88</f>
        <v>3.2625</v>
      </c>
      <c r="P88" s="3">
        <v>30</v>
      </c>
      <c r="Q88" s="4">
        <f>D88/P88</f>
        <v>33.33333333</v>
      </c>
      <c r="R88" s="1">
        <f>F88/Q88</f>
        <v>3.2625</v>
      </c>
      <c r="S88" s="3" t="str">
        <v>N/A</v>
      </c>
      <c r="T88" s="3" t="str">
        <v>N/A</v>
      </c>
      <c r="U88" s="3" t="str">
        <v>N/A</v>
      </c>
    </row>
    <row r="89" ht="15" customHeight="1">
      <c r="A89" t="str">
        <v>Devondale</v>
      </c>
      <c r="B89" t="str">
        <v>DRINK_SPECIFIC</v>
      </c>
      <c r="C89" t="str">
        <v>Matcha Latte</v>
      </c>
      <c r="D89">
        <f>1000</f>
        <v>1000</v>
      </c>
      <c r="E89" s="1" t="str">
        <v>ml</v>
      </c>
      <c r="F89" s="1">
        <v>108.75</v>
      </c>
      <c r="G89" s="3" t="str">
        <v>N/A</v>
      </c>
      <c r="H89" s="3" t="str">
        <v>N/A</v>
      </c>
      <c r="I89" s="4" t="str">
        <v>N/A</v>
      </c>
      <c r="J89" s="4" t="str">
        <v>N/A</v>
      </c>
      <c r="K89" s="1" t="str">
        <v>N/A</v>
      </c>
      <c r="L89" s="1" t="str">
        <v>N/A</v>
      </c>
      <c r="M89" s="3">
        <v>70</v>
      </c>
      <c r="N89" s="4">
        <f>D89/M89</f>
        <v>14.28571429</v>
      </c>
      <c r="O89" s="1">
        <f>F89/N89</f>
        <v>7.6125</v>
      </c>
      <c r="P89" s="3" t="str">
        <v>N/A</v>
      </c>
      <c r="Q89" s="4" t="str">
        <v>N/A</v>
      </c>
      <c r="R89" s="1" t="str">
        <v>N/A</v>
      </c>
      <c r="S89" s="3" t="str">
        <v>N/A</v>
      </c>
      <c r="T89" s="3" t="str">
        <v>N/A</v>
      </c>
      <c r="U89" t="str">
        <v>N/A</v>
      </c>
    </row>
    <row r="90" ht="15" customHeight="1">
      <c r="A90" t="str">
        <v>Devondale</v>
      </c>
      <c r="B90" t="str">
        <v>DRINK_SPECIFIC</v>
      </c>
      <c r="C90" t="str">
        <v>Blueberry Latte</v>
      </c>
      <c r="D90">
        <f>1000</f>
        <v>1000</v>
      </c>
      <c r="E90" s="1" t="str">
        <v>ml</v>
      </c>
      <c r="F90" s="1">
        <v>108.75</v>
      </c>
      <c r="G90" s="3" t="str">
        <v>N/A</v>
      </c>
      <c r="H90" s="3" t="str">
        <v>N/A</v>
      </c>
      <c r="I90" s="4" t="str">
        <v>N/A</v>
      </c>
      <c r="J90" s="4" t="str">
        <v>N/A</v>
      </c>
      <c r="K90" s="1" t="str">
        <v>N/A</v>
      </c>
      <c r="L90" s="1" t="str">
        <v>N/A</v>
      </c>
      <c r="M90" s="3">
        <v>30</v>
      </c>
      <c r="N90" s="4">
        <f>D90/M90</f>
        <v>33.33333333</v>
      </c>
      <c r="O90" s="1">
        <f>F90/N90</f>
        <v>3.2625</v>
      </c>
      <c r="P90" s="3">
        <v>30</v>
      </c>
      <c r="Q90" s="4">
        <f>D90/P90</f>
        <v>33.33333333</v>
      </c>
      <c r="R90" s="1">
        <f>F90/Q90</f>
        <v>3.2625</v>
      </c>
      <c r="S90" s="3" t="str">
        <v>N/A</v>
      </c>
      <c r="T90" s="3" t="str">
        <v>N/A</v>
      </c>
      <c r="U90" t="str">
        <v>N/A</v>
      </c>
    </row>
    <row r="91" ht="15" customHeight="1">
      <c r="A91" t="str">
        <v>Devondale</v>
      </c>
      <c r="B91" t="str">
        <v>DRINK_SPECIFIC</v>
      </c>
      <c r="C91" t="str">
        <v>Cacao Latte</v>
      </c>
      <c r="D91">
        <f>1000</f>
        <v>1000</v>
      </c>
      <c r="E91" s="1" t="str">
        <v>ml</v>
      </c>
      <c r="F91" s="1">
        <v>108.75</v>
      </c>
      <c r="G91" s="3" t="str">
        <v>N/A</v>
      </c>
      <c r="H91" s="3" t="str">
        <v>N/A</v>
      </c>
      <c r="I91" s="4" t="str">
        <v>N/A</v>
      </c>
      <c r="J91" s="4" t="str">
        <v>N/A</v>
      </c>
      <c r="K91" s="1" t="str">
        <v>N/A</v>
      </c>
      <c r="L91" s="1" t="str">
        <v>N/A</v>
      </c>
      <c r="M91" s="3">
        <v>45</v>
      </c>
      <c r="N91" s="4">
        <f>D91/M91</f>
        <v>22.22222222</v>
      </c>
      <c r="O91" s="1">
        <f>F91/N91</f>
        <v>4.8937</v>
      </c>
      <c r="P91" s="3">
        <v>45</v>
      </c>
      <c r="Q91" s="4">
        <f>D91/P91</f>
        <v>22.22222222</v>
      </c>
      <c r="R91" s="1">
        <f>F91/Q91</f>
        <v>4.8937</v>
      </c>
      <c r="S91" s="3" t="str">
        <v>N/A</v>
      </c>
      <c r="T91" s="3" t="str">
        <v>N/A</v>
      </c>
      <c r="U91" t="str">
        <v>N/A</v>
      </c>
    </row>
    <row r="92" ht="15" customHeight="1">
      <c r="A92" t="str">
        <v>JollyCow</v>
      </c>
      <c r="B92" t="str">
        <v>DRINK_SPECIFIC</v>
      </c>
      <c r="C92" t="str">
        <v>Oreo Latte</v>
      </c>
      <c r="D92">
        <f>1000</f>
        <v>1000</v>
      </c>
      <c r="E92" s="1" t="str">
        <v>ml</v>
      </c>
      <c r="F92" s="1">
        <v>93.6</v>
      </c>
      <c r="G92" s="3" t="str">
        <v>N/A</v>
      </c>
      <c r="H92" s="3" t="str">
        <v>N/A</v>
      </c>
      <c r="I92" s="4" t="str">
        <v>N/A</v>
      </c>
      <c r="J92" s="4" t="str">
        <v>N/A</v>
      </c>
      <c r="K92" s="1" t="str">
        <v>N/A</v>
      </c>
      <c r="L92" s="1" t="str">
        <v>N/A</v>
      </c>
      <c r="M92" s="3">
        <v>45</v>
      </c>
      <c r="N92" s="4">
        <f>D92/M92</f>
        <v>22.22222222</v>
      </c>
      <c r="O92" s="1">
        <f>F92/N92</f>
        <v>4.212</v>
      </c>
      <c r="P92" s="3">
        <v>45</v>
      </c>
      <c r="Q92" s="3">
        <f>D92/P92</f>
        <v>22.22222222</v>
      </c>
      <c r="R92" s="1">
        <f>F92/Q92</f>
        <v>4.212</v>
      </c>
      <c r="S92" s="3" t="str">
        <v>N/A</v>
      </c>
      <c r="T92" s="3" t="str">
        <v>N/A</v>
      </c>
      <c r="U92" t="str">
        <v>N/A</v>
      </c>
    </row>
    <row r="93" ht="15.75" customHeight="1">
      <c r="A93" t="str">
        <v>Oreo Crushed</v>
      </c>
      <c r="B93" t="str">
        <v>DRINK_SPECIFIC</v>
      </c>
      <c r="C93" t="str">
        <v>Oreo Latte</v>
      </c>
      <c r="D93">
        <v>454</v>
      </c>
      <c r="E93" s="1" t="str">
        <v>g</v>
      </c>
      <c r="F93" s="1">
        <v>210.5</v>
      </c>
      <c r="G93" s="3" t="str">
        <v>N/A</v>
      </c>
      <c r="H93" s="3" t="str">
        <v>N/A</v>
      </c>
      <c r="I93" s="4" t="str">
        <v>N/A</v>
      </c>
      <c r="J93" s="4" t="str">
        <v>N/A</v>
      </c>
      <c r="K93" s="1" t="str">
        <v>N/A</v>
      </c>
      <c r="L93" s="1" t="str">
        <v>N/A</v>
      </c>
      <c r="M93" s="3">
        <v>35</v>
      </c>
      <c r="N93" s="4">
        <f>D93/M93</f>
        <v>12.97142857</v>
      </c>
      <c r="O93" s="1">
        <f>F93/N93</f>
        <v>16.228</v>
      </c>
      <c r="P93" s="3">
        <v>45</v>
      </c>
      <c r="Q93" s="3">
        <f>D93/P93</f>
        <v>10.08888889</v>
      </c>
      <c r="R93" s="1">
        <f>F93/Q93</f>
        <v>20.8645</v>
      </c>
      <c r="S93" s="3" t="str">
        <v>N/A</v>
      </c>
      <c r="T93" s="3" t="str">
        <v>N/A</v>
      </c>
      <c r="U93" t="str">
        <v>N/A</v>
      </c>
    </row>
    <row r="94" ht="15.75" customHeight="1">
      <c r="A94" t="str">
        <v>Vanilla Syrup</v>
      </c>
      <c r="B94" t="str">
        <v>DRINK_SPECIFIC</v>
      </c>
      <c r="C94" t="str">
        <v>Oreo Latte</v>
      </c>
      <c r="D94">
        <v>750</v>
      </c>
      <c r="E94" s="1" t="str">
        <v>ml</v>
      </c>
      <c r="F94" s="1">
        <v>550</v>
      </c>
      <c r="G94" s="3" t="str">
        <v>N/A</v>
      </c>
      <c r="H94" s="3" t="str">
        <v>N/A</v>
      </c>
      <c r="I94" s="4" t="str">
        <v>N/A</v>
      </c>
      <c r="J94" s="4" t="str">
        <v>N/A</v>
      </c>
      <c r="K94" s="1" t="str">
        <v>N/A</v>
      </c>
      <c r="L94" s="1" t="str">
        <v>N/A</v>
      </c>
      <c r="M94" s="3">
        <v>10</v>
      </c>
      <c r="N94" s="4">
        <f>D94/M94</f>
        <v>75</v>
      </c>
      <c r="O94" s="1">
        <f>F94/N94</f>
        <v>7.3333</v>
      </c>
      <c r="P94" s="3">
        <v>10</v>
      </c>
      <c r="Q94" s="3">
        <f>D94/P94</f>
        <v>75</v>
      </c>
      <c r="R94" s="1">
        <f>F94/Q94</f>
        <v>7.3333</v>
      </c>
      <c r="S94" s="3" t="str">
        <v>N/A</v>
      </c>
      <c r="T94" s="3" t="str">
        <v>N/A</v>
      </c>
      <c r="U94" t="str">
        <v>N/A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B108" t="str">
        <v>1pc</v>
      </c>
      <c r="C108" t="str">
        <v>large egg</v>
      </c>
      <c r="D108" t="str">
        <v>50g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94"/>
  <ignoredErrors>
    <ignoredError numberStoredAsText="1" sqref="A1:U1000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cols>
    <col min="1" max="1" customWidth="1" width="24.11"/>
    <col min="2" max="2" customWidth="1" width="25.67"/>
    <col min="3" max="3" customWidth="1" width="13.89"/>
    <col min="4" max="4" customWidth="1" width="23.22"/>
    <col min="5" max="5" customWidth="1" width="6.22"/>
    <col min="6" max="6" customWidth="1" width="6.22"/>
    <col min="7" max="7" customWidth="1" width="7.22"/>
    <col min="8" max="8" customWidth="1" width="4.89"/>
    <col min="9" max="9" customWidth="1" width="6.22"/>
    <col min="10" max="10" customWidth="1" width="7.89"/>
  </cols>
  <sheetData>
    <row r="1">
      <c r="A1" t="str">
        <v>Drinks</v>
      </c>
      <c r="B1" t="str">
        <v>Series</v>
      </c>
      <c r="C1" t="str">
        <v>Milk Type</v>
      </c>
      <c r="D1" t="str">
        <v>Bean Type</v>
      </c>
      <c r="E1" t="str">
        <v>8oz</v>
      </c>
      <c r="F1" t="str">
        <v>12oz</v>
      </c>
      <c r="G1" t="str">
        <v>16oz</v>
      </c>
      <c r="H1" s="1" t="str">
        <v>Slice</v>
      </c>
      <c r="I1" s="1" t="str">
        <v>Shots</v>
      </c>
      <c r="J1" s="1" t="str">
        <v>Latte Art</v>
      </c>
    </row>
    <row r="2">
      <c r="A2" t="str">
        <v>Americano Sunset</v>
      </c>
      <c r="B2" s="1" t="str">
        <v>Original</v>
      </c>
      <c r="C2" s="1" t="str">
        <v>N/A</v>
      </c>
      <c r="D2" s="1" t="str">
        <v>Sagada, Brazil Santos</v>
      </c>
      <c r="E2" s="1" t="str">
        <v>N/A</v>
      </c>
      <c r="F2" s="1">
        <f>SUM('Ingredients Pricing'!O35,'Ingredients Pricing'!O34,'Ingredients Pricing'!O4,'Ingredients Pricing'!O33,'Ingredients Pricing'!O5,'Ingredients Pricing'!O6,'Ingredients Pricing'!O80,'Ingredients Pricing'!O$82,'Ingredients Pricing'!O84)</f>
        <v>39.32816667</v>
      </c>
      <c r="G2" s="1" t="str">
        <v>N/A</v>
      </c>
      <c r="H2" s="1" t="str">
        <v>N/A</v>
      </c>
      <c r="I2" s="1" t="str">
        <v>N/A</v>
      </c>
      <c r="J2" s="1" t="str">
        <v>N/A</v>
      </c>
    </row>
    <row r="3">
      <c r="A3" t="str">
        <v>Iced Americano</v>
      </c>
      <c r="B3" s="1" t="str">
        <v>Original</v>
      </c>
      <c r="C3" s="1" t="str">
        <v>N/A</v>
      </c>
      <c r="D3" s="1" t="str">
        <v>Sagada, Brazil Santos</v>
      </c>
      <c r="E3" s="1" t="str">
        <v>N/A</v>
      </c>
      <c r="F3" s="1">
        <f>sum('Ingredients Pricing'!O4,'Ingredients Pricing'!O5,'Ingredients Pricing'!O33,'Ingredients Pricing'!O80,'Ingredients Pricing'!O$82,'Ingredients Pricing'!O84)</f>
        <v>20.7075</v>
      </c>
      <c r="G3" s="1" t="str">
        <v>N/A</v>
      </c>
      <c r="H3" s="1" t="str">
        <v>N/A</v>
      </c>
      <c r="I3" s="1" t="str">
        <v>N/A</v>
      </c>
      <c r="J3" s="1" t="str">
        <v>N/A</v>
      </c>
    </row>
    <row r="4">
      <c r="A4" t="str">
        <v>Hot Americano</v>
      </c>
      <c r="B4" s="1" t="str">
        <v>Original</v>
      </c>
      <c r="C4" s="1" t="str">
        <v>N/A</v>
      </c>
      <c r="D4" s="1" t="str">
        <v>Sagada, Brazil Santos</v>
      </c>
      <c r="E4" s="1">
        <f>SUM('Ingredients Pricing'!L4,'Ingredients Pricing'!L33,'Ingredients Pricing'!L78,'Ingredients Pricing'!L79)</f>
        <v>19.0575</v>
      </c>
      <c r="F4" s="1" t="str">
        <v>N/A</v>
      </c>
      <c r="G4" s="1" t="str">
        <v>N/A</v>
      </c>
      <c r="H4" s="1" t="str">
        <v>N/A</v>
      </c>
      <c r="I4" s="1" t="str">
        <v>N/A</v>
      </c>
      <c r="J4" s="1" t="str">
        <v>N/A</v>
      </c>
    </row>
    <row r="5">
      <c r="A5" t="str">
        <v>Cappuccino</v>
      </c>
      <c r="B5" s="1" t="str">
        <v>Classic Latte</v>
      </c>
      <c r="C5" s="1" t="str">
        <v>JollyCow</v>
      </c>
      <c r="D5" s="1" t="str">
        <v>Sagada, Brazil Santos</v>
      </c>
      <c r="E5" s="1">
        <f>SUM('Ingredients Pricing'!L$4,'Ingredients Pricing'!L$2,'Ingredients Pricing'!L33,'Ingredients Pricing'!L78,'Ingredients Pricing'!L79)</f>
        <v>38.2455</v>
      </c>
      <c r="F5" s="1">
        <f>SUM('Ingredients Pricing'!O$2,'Ingredients Pricing'!O$4,'Ingredients Pricing'!O$5,'Ingredients Pricing'!O$33,'Ingredients Pricing'!O$80,'Ingredients Pricing'!O$82,'Ingredients Pricing'!O$84)</f>
        <v>34.7475</v>
      </c>
      <c r="G5" s="1">
        <f>SUM('Ingredients Pricing'!R$2,'Ingredients Pricing'!R$4,'Ingredients Pricing'!R$5,'Ingredients Pricing'!R$33,'Ingredients Pricing'!R$81,'Ingredients Pricing'!R$82,'Ingredients Pricing'!R$84)</f>
        <v>40.2025</v>
      </c>
      <c r="H5" s="1" t="str">
        <v>N/A</v>
      </c>
      <c r="I5" s="1" t="str">
        <v>N/A</v>
      </c>
      <c r="J5" s="1" t="str">
        <v>N/A</v>
      </c>
    </row>
    <row r="6">
      <c r="A6" t="str">
        <v>Cafe Latte</v>
      </c>
      <c r="B6" s="1" t="str">
        <v>Classic Latte</v>
      </c>
      <c r="C6" s="1" t="str">
        <v>JollyCow</v>
      </c>
      <c r="D6" s="1" t="str">
        <v>Sagada, Brazil Santos</v>
      </c>
      <c r="E6" s="1">
        <f>SUM('Ingredients Pricing'!L$4,'Ingredients Pricing'!L$2,'Ingredients Pricing'!L$33,'Ingredients Pricing'!L78,'Ingredients Pricing'!L79)</f>
        <v>38.2455</v>
      </c>
      <c r="F6" s="1">
        <f>SUM('Ingredients Pricing'!O$2,'Ingredients Pricing'!O$4,'Ingredients Pricing'!O$5,'Ingredients Pricing'!O$33,'Ingredients Pricing'!O$80,'Ingredients Pricing'!O$82,'Ingredients Pricing'!O$84)</f>
        <v>34.7475</v>
      </c>
      <c r="G6" s="1">
        <f>SUM('Ingredients Pricing'!R$2,'Ingredients Pricing'!R$4,'Ingredients Pricing'!R$5,'Ingredients Pricing'!R$33,'Ingredients Pricing'!R$81,'Ingredients Pricing'!R$82,'Ingredients Pricing'!R$84)</f>
        <v>40.2025</v>
      </c>
      <c r="H6" s="1" t="str">
        <v>N/A</v>
      </c>
      <c r="I6" s="1" t="str">
        <v>N/A</v>
      </c>
      <c r="J6" s="1" t="str">
        <v>N/A</v>
      </c>
    </row>
    <row r="7">
      <c r="A7" t="str">
        <v>Flat White</v>
      </c>
      <c r="B7" s="1" t="str">
        <v>Classic Latte</v>
      </c>
      <c r="C7" s="1" t="str">
        <v>JollyCow</v>
      </c>
      <c r="D7" s="1" t="str">
        <v>Sagada, Brazil Santos</v>
      </c>
      <c r="E7" s="1">
        <f>SUM('Ingredients Pricing'!L$4,'Ingredients Pricing'!L$2,'Ingredients Pricing'!L$33,'Ingredients Pricing'!L78,'Ingredients Pricing'!L79)</f>
        <v>38.2455</v>
      </c>
      <c r="F7" s="1">
        <f>SUM('Ingredients Pricing'!O$2,'Ingredients Pricing'!O$4,'Ingredients Pricing'!O$5,'Ingredients Pricing'!O$33,'Ingredients Pricing'!O$80,'Ingredients Pricing'!O$82,'Ingredients Pricing'!O$84)</f>
        <v>34.7475</v>
      </c>
      <c r="G7" s="1">
        <f>SUM('Ingredients Pricing'!R$2,'Ingredients Pricing'!R$4,'Ingredients Pricing'!R$5,'Ingredients Pricing'!R$33,'Ingredients Pricing'!R$81,'Ingredients Pricing'!R$82,'Ingredients Pricing'!R$84)</f>
        <v>40.2025</v>
      </c>
      <c r="H7" s="1" t="str">
        <v>N/A</v>
      </c>
      <c r="I7" s="1" t="str">
        <v>N/A</v>
      </c>
      <c r="J7" s="1" t="str">
        <v>N/A</v>
      </c>
    </row>
    <row r="8">
      <c r="A8" t="str">
        <v>Oreo Kohi Latte</v>
      </c>
      <c r="B8" s="1" t="str">
        <v>Espresso Latte</v>
      </c>
      <c r="C8" s="1" t="str">
        <v>JollyCow</v>
      </c>
      <c r="D8" s="1" t="str">
        <v>Sagada, Brazil Santos</v>
      </c>
      <c r="E8" s="1" t="str">
        <v>N/A</v>
      </c>
      <c r="F8" s="1">
        <f>sum('Ingredients Pricing'!O25,'Ingredients Pricing'!O4,'Ingredients Pricing'!O2,'Ingredients Pricing'!O5,'Ingredients Pricing'!O$33,'Ingredients Pricing'!O$80,'Ingredients Pricing'!O$82,'Ingredients Pricing'!O$85)</f>
        <v>48.71895374</v>
      </c>
      <c r="G8" s="1">
        <f>sum('Ingredients Pricing'!R2,'Ingredients Pricing'!R4,'Ingredients Pricing'!R5,'Ingredients Pricing'!R25,'Ingredients Pricing'!R$33,'Ingredients Pricing'!R$81,'Ingredients Pricing'!R$82,'Ingredients Pricing'!R$84)</f>
        <v>58.48443833</v>
      </c>
      <c r="H8" s="1" t="str">
        <v>N/A</v>
      </c>
      <c r="I8" s="1" t="str">
        <v>N/A</v>
      </c>
      <c r="J8" s="1" t="str">
        <v>N/A</v>
      </c>
    </row>
    <row r="9">
      <c r="A9" t="str">
        <v>Caramel Macchiato</v>
      </c>
      <c r="B9" s="1" t="str">
        <v>Espresso Latte</v>
      </c>
      <c r="C9" s="1" t="str">
        <v>JollyCow</v>
      </c>
      <c r="D9" s="1" t="str">
        <v>Sagada, Brazil Santos</v>
      </c>
      <c r="E9" s="1" t="str">
        <v>N/A</v>
      </c>
      <c r="F9" s="1">
        <f>sum('Ingredients Pricing'!O8,'Ingredients Pricing'!O2,'Ingredients Pricing'!O19,'Ingredients Pricing'!O4,'Ingredients Pricing'!O5,'Ingredients Pricing'!O$33,'Ingredients Pricing'!O$80,'Ingredients Pricing'!O$82,'Ingredients Pricing'!O$84)</f>
        <v>55.51998718</v>
      </c>
      <c r="G9" s="1">
        <f>sum('Ingredients Pricing'!R2,'Ingredients Pricing'!R4,'Ingredients Pricing'!R5,'Ingredients Pricing'!R8,'Ingredients Pricing'!R19,'Ingredients Pricing'!R$33,'Ingredients Pricing'!R$81,'Ingredients Pricing'!R$82,'Ingredients Pricing'!R$84)</f>
        <v>71.36123077</v>
      </c>
      <c r="H9" s="1" t="str">
        <v>N/A</v>
      </c>
      <c r="I9" s="1" t="str">
        <v>N/A</v>
      </c>
      <c r="J9" s="1" t="str">
        <v>N/A</v>
      </c>
    </row>
    <row r="10">
      <c r="A10" t="str">
        <v>Spanish Latte</v>
      </c>
      <c r="B10" s="1" t="str">
        <v>Espresso Latte</v>
      </c>
      <c r="C10" s="1" t="str">
        <v>JollyCow</v>
      </c>
      <c r="D10" s="1" t="str">
        <v>Sagada, Brazil Santos</v>
      </c>
      <c r="E10" s="1" t="str">
        <v>N/A</v>
      </c>
      <c r="F10" s="1">
        <f>SUM('Ingredients Pricing'!O21,'Ingredients Pricing'!O2,'Ingredients Pricing'!O4,'Ingredients Pricing'!O5,'Ingredients Pricing'!O$33,'Ingredients Pricing'!O$80,'Ingredients Pricing'!O$82,'Ingredients Pricing'!O$84)</f>
        <v>36.88653743</v>
      </c>
      <c r="G10" s="1">
        <f>sum('Ingredients Pricing'!R2,'Ingredients Pricing'!R4,'Ingredients Pricing'!R5,'Ingredients Pricing'!R21,'Ingredients Pricing'!R$33,'Ingredients Pricing'!R$81,'Ingredients Pricing'!R$82,'Ingredients Pricing'!R$84)</f>
        <v>43.94581551</v>
      </c>
      <c r="H10" s="1" t="str">
        <v>N/A</v>
      </c>
      <c r="I10" s="1" t="str">
        <v>N/A</v>
      </c>
      <c r="J10" s="1" t="str">
        <v>N/A</v>
      </c>
    </row>
    <row r="11">
      <c r="A11" t="str">
        <v>Hazelnut Latte</v>
      </c>
      <c r="B11" s="1" t="str">
        <v>Espresso Latte</v>
      </c>
      <c r="C11" s="1" t="str">
        <v>JollyCow</v>
      </c>
      <c r="D11" s="1" t="str">
        <v>Sagada, Brazil Santos</v>
      </c>
      <c r="E11" s="1" t="str">
        <v>N/A</v>
      </c>
      <c r="F11" s="1">
        <f>SUM('Ingredients Pricing'!O32,'Ingredients Pricing'!O2,'Ingredients Pricing'!O4,'Ingredients Pricing'!O5,'Ingredients Pricing'!O$33,'Ingredients Pricing'!O$80,'Ingredients Pricing'!O$82,'Ingredients Pricing'!O$84)</f>
        <v>49.41416667</v>
      </c>
      <c r="G11" s="1">
        <f>SUM('Ingredients Pricing'!R32,'Ingredients Pricing'!R2,'Ingredients Pricing'!R4,'Ingredients Pricing'!R5,'Ingredients Pricing'!R$33,'Ingredients Pricing'!R$81,'Ingredients Pricing'!R$82,'Ingredients Pricing'!R$84)</f>
        <v>65.86916667</v>
      </c>
      <c r="H11" s="1" t="str">
        <v>N/A</v>
      </c>
      <c r="I11" s="1" t="str">
        <v>N/A</v>
      </c>
      <c r="J11" s="1" t="str">
        <v>N/A</v>
      </c>
    </row>
    <row r="12">
      <c r="A12" t="str">
        <v>White Mocha Latte</v>
      </c>
      <c r="B12" s="1" t="str">
        <v>Espresso Latte</v>
      </c>
      <c r="C12" s="1" t="str">
        <v>JollyCow</v>
      </c>
      <c r="D12" s="1" t="str">
        <v>Sagada, Brazil Santos</v>
      </c>
      <c r="E12" s="1" t="str">
        <v>N/A</v>
      </c>
      <c r="F12" s="1">
        <f>SUM('Ingredients Pricing'!O30,'Ingredients Pricing'!O2,'Ingredients Pricing'!O4,'Ingredients Pricing'!O5,'Ingredients Pricing'!O$33,'Ingredients Pricing'!O$80,'Ingredients Pricing'!O$82,'Ingredients Pricing'!O$84)</f>
        <v>55.01205026</v>
      </c>
      <c r="G12" s="1">
        <f>SUM('Ingredients Pricing'!R30,'Ingredients Pricing'!R2,'Ingredients Pricing'!R4,'Ingredients Pricing'!R5,'Ingredients Pricing'!R$33,'Ingredients Pricing'!R$81,'Ingredients Pricing'!R$82,'Ingredients Pricing'!R$84)</f>
        <v>72.62578042</v>
      </c>
      <c r="H12" s="1" t="str">
        <v>N/A</v>
      </c>
      <c r="I12" s="1" t="str">
        <v>N/A</v>
      </c>
      <c r="J12" s="1" t="str">
        <v>N/A</v>
      </c>
    </row>
    <row r="13">
      <c r="A13" t="str">
        <v>Tiramisu Latte</v>
      </c>
      <c r="B13" s="1" t="str">
        <v>Kohi Cream</v>
      </c>
      <c r="C13" s="1" t="str">
        <v>JollyCow</v>
      </c>
      <c r="D13" s="1" t="str">
        <v>Sagada, Brazil Santos</v>
      </c>
      <c r="E13" s="1" t="str">
        <v>N/A</v>
      </c>
      <c r="F13" s="1">
        <f>SUM('Ingredients Pricing'!O2,'Ingredients Pricing'!O4,'Ingredients Pricing'!O5,'Ingredients Pricing'!O7,'Ingredients Pricing'!O31,'Ingredients Pricing'!O33,'Ingredients Pricing'!O72,'Ingredients Pricing'!O73,'Ingredients Pricing'!O74,'Ingredients Pricing'!O75,'Ingredients Pricing'!O76,'Ingredients Pricing'!O77,'Ingredients Pricing'!O$80,'Ingredients Pricing'!O$82,'Ingredients Pricing'!O$84)</f>
        <v>86.4951746</v>
      </c>
      <c r="G13" s="1" t="str">
        <v>N/A</v>
      </c>
      <c r="H13" s="1" t="str">
        <v>N/A</v>
      </c>
      <c r="I13" s="1" t="str">
        <v>N/A</v>
      </c>
      <c r="J13" s="1" t="str">
        <v>N/A</v>
      </c>
    </row>
    <row r="14">
      <c r="A14" t="str">
        <v>Memento Latte</v>
      </c>
      <c r="B14" s="1" t="str">
        <v>Kohi Cream</v>
      </c>
      <c r="C14" s="1" t="str">
        <v>JollyCow</v>
      </c>
      <c r="D14" s="1" t="str">
        <v>Sagada, Brazil Santos</v>
      </c>
      <c r="E14" s="1" t="str">
        <v>N/A</v>
      </c>
      <c r="F14" s="1">
        <f>sum('Ingredients Pricing'!O2,'Ingredients Pricing'!O4,'Ingredients Pricing'!O5,'Ingredients Pricing'!O20,'Ingredients Pricing'!O$33,'Ingredients Pricing'!O68,'Ingredients Pricing'!O69,'Ingredients Pricing'!O70,'Ingredients Pricing'!O71, 'Ingredients Pricing'!O$80,'Ingredients Pricing'!O$82,'Ingredients Pricing'!O$84)</f>
        <v>51.88712077</v>
      </c>
      <c r="G14" s="1">
        <f>sum('Ingredients Pricing'!R2,'Ingredients Pricing'!R4,'Ingredients Pricing'!R5,'Ingredients Pricing'!R20,'Ingredients Pricing'!R$33,'Ingredients Pricing'!R68,'Ingredients Pricing'!R69,'Ingredients Pricing'!R70,'Ingredients Pricing'!R71,'Ingredients Pricing'!R$81,'Ingredients Pricing'!R$82,'Ingredients Pricing'!R$84)</f>
        <v>58.94639884</v>
      </c>
      <c r="H14" s="1" t="str">
        <v>N/A</v>
      </c>
      <c r="I14" s="1" t="str">
        <v>N/A</v>
      </c>
      <c r="J14" s="1" t="str">
        <v>N/A</v>
      </c>
    </row>
    <row r="15">
      <c r="A15" t="str">
        <v>Double Mocha Cream</v>
      </c>
      <c r="B15" s="1" t="str">
        <v>Kohi Cream</v>
      </c>
      <c r="C15" s="1" t="str">
        <v>JollyCow</v>
      </c>
      <c r="D15" s="1" t="str">
        <v>Sagada, Brazil Santos</v>
      </c>
      <c r="E15" s="1" t="str">
        <v>N/A</v>
      </c>
      <c r="F15" s="1">
        <f>SUM('Ingredients Pricing'!O2,'Ingredients Pricing'!O4,'Ingredients Pricing'!O5,'Ingredients Pricing'!O13,'Ingredients Pricing'!O14,'Ingredients Pricing'!O65,'Ingredients Pricing'!O66,'Ingredients Pricing'!O67,'Ingredients Pricing'!O$33,'Ingredients Pricing'!O$80,'Ingredients Pricing'!O$83,'Ingredients Pricing'!O$85)</f>
        <v>60.85134082</v>
      </c>
      <c r="G15" s="1">
        <f>sum('Ingredients Pricing'!R2,'Ingredients Pricing'!R4,'Ingredients Pricing'!R5,'Ingredients Pricing'!R13,'Ingredients Pricing'!R14,'Ingredients Pricing'!R65,'Ingredients Pricing'!R66,'Ingredients Pricing'!R67,'Ingredients Pricing'!R$33,'Ingredients Pricing'!R$81,'Ingredients Pricing'!R$82,'Ingredients Pricing'!R$84)</f>
        <v>67.17810487</v>
      </c>
      <c r="H15" s="1" t="str">
        <v>N/A</v>
      </c>
      <c r="I15" s="1" t="str">
        <v>N/A</v>
      </c>
      <c r="J15" s="1" t="str">
        <v>N/A</v>
      </c>
    </row>
    <row r="16">
      <c r="A16" t="str">
        <v>Espresso Cream</v>
      </c>
      <c r="B16" s="1" t="str">
        <v>Kohi Cream</v>
      </c>
      <c r="C16" s="1" t="str">
        <v>JollyCow</v>
      </c>
      <c r="D16" s="1" t="str">
        <v>Sagada, Brazil Santos</v>
      </c>
      <c r="E16" s="1" t="str">
        <v>N/A</v>
      </c>
      <c r="F16" s="1">
        <f>SUM('Ingredients Pricing'!O2,'Ingredients Pricing'!O4,'Ingredients Pricing'!O5,'Ingredients Pricing'!O65,'Ingredients Pricing'!O66,'Ingredients Pricing'!O67,'Ingredients Pricing'!O$33,'Ingredients Pricing'!O$80,'Ingredients Pricing'!O$83,'Ingredients Pricing'!O$85)</f>
        <v>52.41016667</v>
      </c>
      <c r="G16" s="1">
        <f>sum('Ingredients Pricing'!R2,'Ingredients Pricing'!R4,'Ingredients Pricing'!R5,'Ingredients Pricing'!R65,'Ingredients Pricing'!R66,'Ingredients Pricing'!R67,'Ingredients Pricing'!R$33,'Ingredients Pricing'!R$81,'Ingredients Pricing'!R$82,'Ingredients Pricing'!R$84)</f>
        <v>56.32516667</v>
      </c>
      <c r="H16" s="1" t="str">
        <v>N/A</v>
      </c>
      <c r="I16" s="1" t="str">
        <v>N/A</v>
      </c>
      <c r="J16" s="1" t="str">
        <v>N/A</v>
      </c>
    </row>
    <row r="17">
      <c r="A17" t="str">
        <v>Biscoff Cream</v>
      </c>
      <c r="B17" s="1" t="str">
        <v>Kohi Cream</v>
      </c>
      <c r="C17" s="1" t="str">
        <v>JollyCow</v>
      </c>
      <c r="D17" s="1" t="str">
        <v>Sagada, Brazil Santos</v>
      </c>
      <c r="E17" s="1" t="str">
        <v>N/A</v>
      </c>
      <c r="F17" s="1">
        <f>SUM('Ingredients Pricing'!O2,'Ingredients Pricing'!O4,'Ingredients Pricing'!O5,'Ingredients Pricing'!O23,'Ingredients Pricing'!O24,'Ingredients Pricing'!O65,'Ingredients Pricing'!O66,'Ingredients Pricing'!O67,'Ingredients Pricing'!O$33,'Ingredients Pricing'!O$80,'Ingredients Pricing'!O$83,'Ingredients Pricing'!O$85)</f>
        <v>90.71266667</v>
      </c>
      <c r="G17" s="1">
        <f>SUM('Ingredients Pricing'!R2,'Ingredients Pricing'!R4,'Ingredients Pricing'!R5,'Ingredients Pricing'!R23,'Ingredients Pricing'!R24,'Ingredients Pricing'!R65,'Ingredients Pricing'!R66,'Ingredients Pricing'!R67,'Ingredients Pricing'!R$33,'Ingredients Pricing'!R$81,'Ingredients Pricing'!R$82,'Ingredients Pricing'!R$84)</f>
        <v>105.1151667</v>
      </c>
      <c r="H17" s="1" t="str">
        <v>N/A</v>
      </c>
      <c r="I17" s="1" t="str">
        <v>N/A</v>
      </c>
      <c r="J17" s="1" t="str">
        <v>N/A</v>
      </c>
      <c r="K17" t="str">
        <v>margin</v>
      </c>
      <c r="L17" t="str">
        <v>16oz</v>
      </c>
      <c r="M17" s="6" t="str">
        <v>margin</v>
      </c>
      <c r="N17" t="str">
        <v>12oz</v>
      </c>
    </row>
    <row r="18">
      <c r="A18" t="str">
        <v>Cacao Latte</v>
      </c>
      <c r="B18" s="1" t="str">
        <v>Non-Kohi</v>
      </c>
      <c r="C18" s="1" t="str">
        <v>Devondale</v>
      </c>
      <c r="D18" s="1" t="str">
        <v>N/A</v>
      </c>
      <c r="E18" s="1" t="str">
        <v>N/A</v>
      </c>
      <c r="F18" s="1">
        <f>sum('Ingredients Pricing'!O3,'Ingredients Pricing'!O5,'Ingredients Pricing'!O15,'Ingredients Pricing'!O18,'Ingredients Pricing'!O$80,'Ingredients Pricing'!O$82,'Ingredients Pricing'!O$84,'Ingredients Pricing'!O$91)</f>
        <v>49.3086631</v>
      </c>
      <c r="G18" s="1">
        <f>SUM('Ingredients Pricing'!R3,'Ingredients Pricing'!R5,'Ingredients Pricing'!R15,'Ingredients Pricing'!R18,'Ingredients Pricing'!R81,'Ingredients Pricing'!R$82,'Ingredients Pricing'!R$84,'Ingredients Pricing'!R$91)</f>
        <v>57.93292714</v>
      </c>
      <c r="H18" s="1" t="str">
        <v>N/A</v>
      </c>
      <c r="I18" s="1" t="str">
        <v>N/A</v>
      </c>
      <c r="J18" s="1" t="str">
        <v>N/A</v>
      </c>
      <c r="K18" s="6">
        <f>100%-(G18/L18)</f>
        <v>0.5365365829</v>
      </c>
      <c r="L18">
        <v>125</v>
      </c>
      <c r="M18" s="6">
        <f>100%-(F18/N18)</f>
        <v>0.506913369</v>
      </c>
      <c r="N18" s="1">
        <v>100</v>
      </c>
    </row>
    <row r="19">
      <c r="A19" t="str">
        <v>Strawberry Latte</v>
      </c>
      <c r="B19" s="1" t="str">
        <v>Non-Kohi</v>
      </c>
      <c r="C19" s="1" t="str">
        <v>Devondale</v>
      </c>
      <c r="D19" s="1" t="str">
        <v>N/A</v>
      </c>
      <c r="E19" s="1" t="str">
        <v>N/A</v>
      </c>
      <c r="F19" s="1">
        <f>SUM('Ingredients Pricing'!O3,'Ingredients Pricing'!O5,'Ingredients Pricing'!O9,'Ingredients Pricing'!O27,'Ingredients Pricing'!O80,'Ingredients Pricing'!O82,'Ingredients Pricing'!O85,'Ingredients Pricing'!O88)</f>
        <v>42.205</v>
      </c>
      <c r="G19" s="1">
        <f>sum('Ingredients Pricing'!R3,'Ingredients Pricing'!R5,'Ingredients Pricing'!R9,'Ingredients Pricing'!R27,'Ingredients Pricing'!R88,'Ingredients Pricing'!R85,'Ingredients Pricing'!R82,'Ingredients Pricing'!R81)</f>
        <v>53.34416667</v>
      </c>
      <c r="H19" s="1" t="str">
        <v>N/A</v>
      </c>
      <c r="I19" s="1" t="str">
        <v>N/A</v>
      </c>
      <c r="J19" s="1" t="str">
        <v>N/A</v>
      </c>
      <c r="K19" s="6">
        <f>100%-(G19/L19)</f>
        <v>0.4665583333</v>
      </c>
      <c r="L19">
        <v>100</v>
      </c>
      <c r="M19" s="6">
        <f>100%-(F19/N19)</f>
        <v>0.5034705882</v>
      </c>
      <c r="N19" s="1">
        <v>85</v>
      </c>
    </row>
    <row r="20">
      <c r="A20" t="str">
        <v>Blueberry Latte</v>
      </c>
      <c r="B20" s="1" t="str">
        <v>Non-Kohi</v>
      </c>
      <c r="C20" s="1" t="str">
        <v>Devondale</v>
      </c>
      <c r="D20" s="1" t="str">
        <v>N/A</v>
      </c>
      <c r="E20" s="1" t="str">
        <v>N/A</v>
      </c>
      <c r="F20" s="1">
        <f>sum('Ingredients Pricing'!O3,'Ingredients Pricing'!O5,'Ingredients Pricing'!O11,'Ingredients Pricing'!O28,'Ingredients Pricing'!O$80,'Ingredients Pricing'!O$82,'Ingredients Pricing'!O$85,'Ingredients Pricing'!O$90)</f>
        <v>36.64833333</v>
      </c>
      <c r="G20" s="1">
        <f>sum('Ingredients Pricing'!R3,'Ingredients Pricing'!R5,'Ingredients Pricing'!R11,'Ingredients Pricing'!R28,'Ingredients Pricing'!R90,'Ingredients Pricing'!R85,'Ingredients Pricing'!R82,'Ingredients Pricing'!R81)</f>
        <v>47.7875</v>
      </c>
      <c r="H20" s="1" t="str">
        <v>N/A</v>
      </c>
      <c r="I20" s="1" t="str">
        <v>N/A</v>
      </c>
      <c r="J20" s="1" t="str">
        <v>N/A</v>
      </c>
      <c r="K20" s="6">
        <f>100%-(G20/L20)</f>
        <v>0.522125</v>
      </c>
      <c r="L20">
        <v>100</v>
      </c>
      <c r="M20" s="6">
        <f>100%-(F20/N20)</f>
        <v>0.5688431373</v>
      </c>
      <c r="N20" s="1">
        <v>85</v>
      </c>
    </row>
    <row r="21" ht="15.75" customHeight="1">
      <c r="A21" t="str">
        <v>Matcha Latte</v>
      </c>
      <c r="B21" s="1" t="str">
        <v>Non-Kohi</v>
      </c>
      <c r="C21" s="1" t="str">
        <v>Devondale</v>
      </c>
      <c r="D21" s="1" t="str">
        <v>N/A</v>
      </c>
      <c r="E21" s="1" t="str">
        <v>N/A</v>
      </c>
      <c r="F21" s="1">
        <f>SUM('Ingredients Pricing'!O3,'Ingredients Pricing'!O5,'Ingredients Pricing'!O10,'Ingredients Pricing'!O22,'Ingredients Pricing'!O29,'Ingredients Pricing'!O$80,'Ingredients Pricing'!O$82,'Ingredients Pricing'!O$84,'Ingredients Pricing'!O$89)</f>
        <v>69.83594474</v>
      </c>
      <c r="G21" s="1" t="str">
        <v>N/A</v>
      </c>
      <c r="H21" s="1" t="str">
        <v>N/A</v>
      </c>
      <c r="I21" s="1" t="str">
        <v>N/A</v>
      </c>
      <c r="J21" s="1" t="str">
        <v>N/A</v>
      </c>
      <c r="K21" s="6" t="str">
        <f>100%-(G21/L21)</f>
        <v>#VALUE!</v>
      </c>
      <c r="L21">
        <v>170</v>
      </c>
      <c r="M21" s="6">
        <f>100%-(F21/N21)</f>
        <v>0.5183727949</v>
      </c>
      <c r="N21" s="1">
        <v>145</v>
      </c>
    </row>
    <row r="22" ht="15.75" customHeight="1">
      <c r="A22" t="str">
        <v>Strawberry Choco Latte</v>
      </c>
      <c r="B22" s="1" t="str">
        <v>Non-Kohi</v>
      </c>
      <c r="C22" s="1" t="str">
        <v>Devondale</v>
      </c>
      <c r="D22" s="1" t="str">
        <v>N/A</v>
      </c>
      <c r="E22" s="1" t="str">
        <v>N/A</v>
      </c>
      <c r="F22" s="1">
        <f>SUM('Ingredients Pricing'!O3,'Ingredients Pricing'!O5,'Ingredients Pricing'!O12,'Ingredients Pricing'!O16,'Ingredients Pricing'!O17,'Ingredients Pricing'!O26,'Ingredients Pricing'!O$80,'Ingredients Pricing'!O$82,'Ingredients Pricing'!O$85)</f>
        <v>51.64883632</v>
      </c>
      <c r="G22" s="1">
        <f>sum('Ingredients Pricing'!R3,'Ingredients Pricing'!R5,'Ingredients Pricing'!R12,'Ingredients Pricing'!R16,'Ingredients Pricing'!R17,'Ingredients Pricing'!R26,'Ingredients Pricing'!R81,'Ingredients Pricing'!R82,'Ingredients Pricing'!R85)</f>
        <v>60.90310036</v>
      </c>
      <c r="H22" s="1" t="str">
        <v>N/A</v>
      </c>
      <c r="I22" s="1" t="str">
        <v>N/A</v>
      </c>
      <c r="J22" s="1" t="str">
        <v>N/A</v>
      </c>
      <c r="K22" s="6">
        <f>100%-(G22/L22)</f>
        <v>0.5127751971</v>
      </c>
      <c r="L22">
        <v>125</v>
      </c>
      <c r="M22" s="6">
        <f>100%-(F22/N22)</f>
        <v>0.5081063208</v>
      </c>
      <c r="N22" s="1">
        <v>105</v>
      </c>
    </row>
    <row r="23" ht="15.75" customHeight="1">
      <c r="A23" t="str">
        <v>Oreo Latte</v>
      </c>
      <c r="B23" s="1" t="str">
        <v>Non-Kohi</v>
      </c>
      <c r="C23" s="1" t="str">
        <v>JollyCow</v>
      </c>
      <c r="D23" s="1" t="str">
        <v>N/A</v>
      </c>
      <c r="E23" s="1" t="str">
        <v>N/A</v>
      </c>
      <c r="F23" s="1">
        <f>SUM('Ingredients Pricing'!O2,'Ingredients Pricing'!O5,'Ingredients Pricing'!O92,'Ingredients Pricing'!O93,'Ingredients Pricing'!O94,'Ingredients Pricing'!O$80,'Ingredients Pricing'!O$82,'Ingredients Pricing'!O$85)</f>
        <v>46.28202937</v>
      </c>
      <c r="G23" s="1">
        <f>sum('Ingredients Pricing'!R2,'Ingredients Pricing'!R5,'Ingredients Pricing'!R92,'Ingredients Pricing'!R93,'Ingredients Pricing'!R94,'Ingredients Pricing'!R85,'Ingredients Pricing'!R82,'Ingredients Pricing'!R81)</f>
        <v>56.30751395</v>
      </c>
      <c r="H23" s="1" t="str">
        <v>N/A</v>
      </c>
      <c r="I23" s="1" t="str">
        <v>N/A</v>
      </c>
      <c r="J23" s="1" t="str">
        <v>N/A</v>
      </c>
      <c r="K23" s="6">
        <f>100%-(G23/L23)</f>
        <v>0.5829073041</v>
      </c>
      <c r="L23">
        <v>135</v>
      </c>
      <c r="M23" s="6">
        <f>100%-(F23/N23)</f>
        <v>0.6143164219</v>
      </c>
      <c r="N23" s="1">
        <v>120</v>
      </c>
    </row>
    <row r="24" ht="15.75" customHeight="1">
      <c r="A24" t="str">
        <v>3D Latte Art</v>
      </c>
      <c r="B24" s="1" t="str">
        <v>Add-ons: Extras</v>
      </c>
      <c r="C24" s="1" t="str">
        <v>JollyCow</v>
      </c>
      <c r="D24" s="1" t="str">
        <v>N/A</v>
      </c>
      <c r="E24" s="1" t="str">
        <v>N/A</v>
      </c>
      <c r="F24" s="1" t="str">
        <v>N/A</v>
      </c>
      <c r="G24" s="1" t="str">
        <v>N/A</v>
      </c>
      <c r="H24" s="1" t="str">
        <v>N/A</v>
      </c>
      <c r="I24" s="1" t="str">
        <v>N/A</v>
      </c>
      <c r="J24" s="1">
        <f>10</f>
        <v>10</v>
      </c>
    </row>
    <row r="25" ht="15.75" customHeight="1">
      <c r="A25" t="str">
        <v>Single Shot</v>
      </c>
      <c r="B25" s="1" t="str">
        <v>Add-ons: Extras</v>
      </c>
      <c r="C25" s="1" t="str">
        <v>N/A</v>
      </c>
      <c r="D25" s="1" t="str">
        <v>Sagada, Brazil Santos</v>
      </c>
      <c r="E25" s="1" t="str">
        <v>N/A</v>
      </c>
      <c r="F25" s="1" t="str">
        <v>N/A</v>
      </c>
      <c r="G25" s="1" t="str">
        <v>N/A</v>
      </c>
      <c r="H25" s="1" t="str">
        <v>N/A</v>
      </c>
      <c r="I25" s="1">
        <f>SUM('Ingredients Pricing'!K$4,'Ingredients Pricing'!K$33)</f>
        <v>16.2675</v>
      </c>
      <c r="J25" s="1" t="str">
        <v>N/A</v>
      </c>
    </row>
    <row r="26" ht="15.75" customHeight="1">
      <c r="A26" t="str">
        <v>Doppio</v>
      </c>
      <c r="B26" s="1" t="str">
        <v>Add-ons: Extras</v>
      </c>
      <c r="C26" s="1" t="str">
        <v>N/A</v>
      </c>
      <c r="D26" s="1" t="str">
        <v>Sagada, Brazil Santos</v>
      </c>
      <c r="E26" s="1" t="str">
        <v>N/A</v>
      </c>
      <c r="F26" s="1" t="str">
        <v>N/A</v>
      </c>
      <c r="G26" s="1" t="str">
        <v>N/A</v>
      </c>
      <c r="H26" s="1" t="str">
        <v>N/A</v>
      </c>
      <c r="I26" s="1">
        <f>SUM('Ingredients Pricing'!K$4,'Ingredients Pricing'!K$33)</f>
        <v>16.2675</v>
      </c>
      <c r="J26" s="1" t="str">
        <v>N/A</v>
      </c>
    </row>
    <row r="27" ht="15.75" customHeight="1">
      <c r="A27" t="str">
        <v>Triple Shot</v>
      </c>
      <c r="B27" s="1" t="str">
        <v>Add-ons: Extras</v>
      </c>
      <c r="C27" s="1" t="str">
        <v>N/A</v>
      </c>
      <c r="D27" s="1" t="str">
        <v>Sagada, Brazil Santos</v>
      </c>
      <c r="E27" s="1" t="str">
        <v>N/A</v>
      </c>
      <c r="F27" s="1" t="str">
        <v>N/A</v>
      </c>
      <c r="G27" s="1" t="str">
        <v>N/A</v>
      </c>
      <c r="H27" s="1" t="str">
        <v>N/A</v>
      </c>
      <c r="I27" s="1">
        <f>SUM('Ingredients Pricing'!K$4,'Ingredients Pricing'!K$33)</f>
        <v>16.2675</v>
      </c>
      <c r="J27" s="1" t="str">
        <v>N/A</v>
      </c>
    </row>
    <row r="28" ht="15.75" customHeight="1">
      <c r="A28" t="str">
        <v>Bottled Americano</v>
      </c>
      <c r="B28" s="1" t="str">
        <v>Original, Add-ons: Bottles</v>
      </c>
      <c r="C28" s="1" t="str">
        <v>N/A</v>
      </c>
      <c r="D28" s="1" t="str">
        <v>Sagada, Brazil Santos</v>
      </c>
      <c r="E28" s="1">
        <f>SUM('Ingredients Pricing'!L4, 10)</f>
        <v>20.08</v>
      </c>
      <c r="F28" s="1" t="str">
        <v>N/A</v>
      </c>
      <c r="G28" s="1" t="str">
        <v>N/A</v>
      </c>
      <c r="H28" s="1" t="str">
        <v>N/A</v>
      </c>
      <c r="I28" s="1" t="str">
        <v>N/A</v>
      </c>
      <c r="J28" s="1" t="str">
        <v>N/A</v>
      </c>
    </row>
    <row r="29" ht="15.75" customHeight="1">
      <c r="A29" t="str">
        <v>Bottled Cafe Latte</v>
      </c>
      <c r="B29" s="1" t="str">
        <v>Original, Add-ons: Bottles</v>
      </c>
      <c r="C29" s="1" t="str">
        <v>JollyCow</v>
      </c>
      <c r="D29" s="1" t="str">
        <v>Sagada, Brazil Santos</v>
      </c>
      <c r="E29" s="1">
        <f>SUM('Ingredients Pricing'!L2,'Ingredients Pricing'!L4, 10)</f>
        <v>39.268</v>
      </c>
      <c r="F29" s="1" t="str">
        <v>N/A</v>
      </c>
      <c r="G29" s="1" t="str">
        <v>N/A</v>
      </c>
      <c r="H29" s="1" t="str">
        <v>N/A</v>
      </c>
      <c r="I29" s="1" t="str">
        <v>N/A</v>
      </c>
      <c r="J29" s="1" t="str">
        <v>N/A</v>
      </c>
    </row>
    <row r="30" ht="15.75" customHeight="1">
      <c r="A30" t="str">
        <v>Bottled Oreo Kohi Latte</v>
      </c>
      <c r="B30" s="1" t="str">
        <v>Original, Classic Latte</v>
      </c>
      <c r="C30" s="1" t="str">
        <v>JollyCow</v>
      </c>
      <c r="D30" s="1" t="str">
        <v>Sagada, Brazil Santos</v>
      </c>
      <c r="E30" s="1">
        <f>SUM('Ingredients Pricing'!L2,'Ingredients Pricing'!L4,'Ingredients Pricing'!O25,10)</f>
        <v>52.97945374</v>
      </c>
      <c r="F30" s="1" t="str">
        <v>N/A</v>
      </c>
      <c r="G30" s="1" t="str">
        <v>N/A</v>
      </c>
      <c r="H30" s="1" t="str">
        <v>N/A</v>
      </c>
      <c r="I30" s="1" t="str">
        <v>N/A</v>
      </c>
      <c r="J30" s="1" t="str">
        <v>N/A</v>
      </c>
    </row>
    <row r="31" ht="15.75" customHeight="1">
      <c r="A31" t="str">
        <v>Bottled Caramel Macchiato</v>
      </c>
      <c r="B31" s="1" t="str">
        <v>Original, Classic Latte</v>
      </c>
      <c r="C31" s="1" t="str">
        <v>JollyCow</v>
      </c>
      <c r="D31" s="1" t="str">
        <v>Sagada, Brazil Santos</v>
      </c>
      <c r="E31" s="1">
        <f>SUM('Ingredients Pricing'!L2,'Ingredients Pricing'!L4,'Ingredients Pricing'!O8,'Ingredients Pricing'!O19,10)</f>
        <v>60.04048718</v>
      </c>
      <c r="F31" s="1" t="str">
        <v>N/A</v>
      </c>
      <c r="G31" s="1" t="str">
        <v>N/A</v>
      </c>
      <c r="H31" s="1" t="str">
        <v>N/A</v>
      </c>
      <c r="I31" s="1" t="str">
        <v>N/A</v>
      </c>
      <c r="J31" s="1" t="str">
        <v>N/A</v>
      </c>
    </row>
    <row r="32" ht="15.75" customHeight="1">
      <c r="A32" t="str">
        <v>Bottled Spanish Latte</v>
      </c>
      <c r="B32" s="1" t="str">
        <v>Original, Classic Latte</v>
      </c>
      <c r="C32" s="1" t="str">
        <v>JollyCow</v>
      </c>
      <c r="D32" s="1" t="str">
        <v>Sagada, Brazil Santos</v>
      </c>
      <c r="E32" s="1">
        <f>SUM('Ingredients Pricing'!L2,'Ingredients Pricing'!L4,'Ingredients Pricing'!O21,10)</f>
        <v>41.40703743</v>
      </c>
      <c r="F32" s="1" t="str">
        <v>N/A</v>
      </c>
      <c r="G32" s="1" t="str">
        <v>N/A</v>
      </c>
      <c r="H32" s="1" t="str">
        <v>N/A</v>
      </c>
      <c r="I32" s="1" t="str">
        <v>N/A</v>
      </c>
      <c r="J32" s="1" t="str">
        <v>N/A</v>
      </c>
    </row>
    <row r="33" ht="15.75" customHeight="1">
      <c r="A33" t="str">
        <v>Bottled Cacao Latte</v>
      </c>
      <c r="B33" s="1" t="str">
        <v>Original, Non-Kohi</v>
      </c>
      <c r="C33" s="1" t="str">
        <v>Devondale</v>
      </c>
      <c r="D33" t="str">
        <v>N/A</v>
      </c>
      <c r="E33" s="1" t="str">
        <v>N/A</v>
      </c>
      <c r="F33" s="1" t="str">
        <v>N/A</v>
      </c>
      <c r="G33" s="1" t="str">
        <v>N/A</v>
      </c>
      <c r="H33" s="1" t="str">
        <v>N/A</v>
      </c>
      <c r="I33" s="1" t="str">
        <v>N/A</v>
      </c>
      <c r="J33" s="1" t="str">
        <v>N/A</v>
      </c>
    </row>
    <row r="34" ht="15.75" customHeight="1">
      <c r="A34" t="str">
        <v>Bottled Strawberry Latte</v>
      </c>
      <c r="B34" s="1" t="str">
        <v>Original, Non-Kohi</v>
      </c>
      <c r="C34" s="1" t="str">
        <v>Devondale</v>
      </c>
      <c r="D34" t="str">
        <v>N/A</v>
      </c>
      <c r="E34" s="1" t="str">
        <v>N/A</v>
      </c>
      <c r="F34" s="1" t="str">
        <v>N/A</v>
      </c>
      <c r="G34" s="1" t="str">
        <v>N/A</v>
      </c>
      <c r="H34" s="1" t="str">
        <v>N/A</v>
      </c>
      <c r="I34" s="1" t="str">
        <v>N/A</v>
      </c>
      <c r="J34" s="1" t="str">
        <v>N/A</v>
      </c>
    </row>
    <row r="35" ht="15.75" customHeight="1">
      <c r="A35" t="str">
        <v>Bottled Blueberry Latte</v>
      </c>
      <c r="B35" s="1" t="str">
        <v>Original, Non-Kohi</v>
      </c>
      <c r="C35" s="1" t="str">
        <v>Devondale</v>
      </c>
      <c r="D35" t="str">
        <v>N/A</v>
      </c>
      <c r="E35" s="1" t="str">
        <v>N/A</v>
      </c>
      <c r="F35" s="1" t="str">
        <v>N/A</v>
      </c>
      <c r="G35" s="1" t="str">
        <v>N/A</v>
      </c>
      <c r="H35" s="1" t="str">
        <v>N/A</v>
      </c>
      <c r="I35" s="1" t="str">
        <v>N/A</v>
      </c>
      <c r="J35" s="1" t="str">
        <v>N/A</v>
      </c>
    </row>
    <row r="36" ht="15.75" customHeight="1">
      <c r="A36" t="str">
        <v>Bottled Matcha Latte</v>
      </c>
      <c r="B36" s="1" t="str">
        <v>Original, Non-Kohi</v>
      </c>
      <c r="C36" s="1" t="str">
        <v>Devondale</v>
      </c>
      <c r="D36" t="str">
        <v>N/A</v>
      </c>
      <c r="E36" s="1" t="str">
        <v>N/A</v>
      </c>
      <c r="F36" s="1" t="str">
        <v>N/A</v>
      </c>
      <c r="G36" s="1" t="str">
        <v>N/A</v>
      </c>
      <c r="H36" s="1" t="str">
        <v>N/A</v>
      </c>
      <c r="I36" s="1" t="str">
        <v>N/A</v>
      </c>
      <c r="J36" s="1" t="str">
        <v>N/A</v>
      </c>
    </row>
    <row r="37" ht="15.75" customHeight="1">
      <c r="A37" t="str">
        <v>Bottled Strawberry Choco Latte</v>
      </c>
      <c r="B37" s="1" t="str">
        <v>Original, Non-Kohi</v>
      </c>
      <c r="C37" s="1" t="str">
        <v>Devondale</v>
      </c>
      <c r="D37" t="str">
        <v>N/A</v>
      </c>
      <c r="E37" s="1" t="str">
        <v>N/A</v>
      </c>
      <c r="F37" s="1" t="str">
        <v>N/A</v>
      </c>
      <c r="G37" s="1" t="str">
        <v>N/A</v>
      </c>
      <c r="H37" s="1" t="str">
        <v>N/A</v>
      </c>
      <c r="I37" s="1" t="str">
        <v>N/A</v>
      </c>
      <c r="J37" s="1" t="str">
        <v>N/A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N1000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cols>
    <col min="1" max="1" customWidth="1" width="15.89"/>
    <col min="2" max="2" customWidth="1" width="18.67"/>
    <col min="3" max="3" customWidth="1" width="18.67"/>
    <col min="4" max="4" customWidth="1" width="20.67"/>
    <col min="5" max="5" customWidth="1" width="19.22"/>
    <col min="6" max="6" customWidth="1" width="19.22"/>
    <col min="7" max="7" customWidth="1" width="19.22"/>
    <col min="8" max="8" customWidth="1" width="9.67"/>
    <col min="9" max="9" customWidth="1" width="9.67"/>
    <col min="10" max="10" customWidth="1" width="10.33"/>
  </cols>
  <sheetData>
    <row r="1">
      <c r="A1" t="str">
        <v>Food</v>
      </c>
      <c r="B1" t="str">
        <v>Series</v>
      </c>
      <c r="C1" t="str">
        <v>Master Dough (grams)</v>
      </c>
      <c r="D1" s="7" t="str">
        <v>Fruit Cream gram/cookie</v>
      </c>
      <c r="E1" s="7" t="str">
        <v>60g QTY</v>
      </c>
      <c r="F1" s="7" t="str">
        <v>70g QTY</v>
      </c>
      <c r="G1" t="str">
        <v>Master Dough (pricing)</v>
      </c>
      <c r="H1" t="str">
        <v>60g cookie</v>
      </c>
      <c r="I1" t="str">
        <v>70g cookie</v>
      </c>
      <c r="J1" t="str">
        <v>Fruit Cream</v>
      </c>
    </row>
    <row r="2">
      <c r="A2" t="str">
        <v>Choco Chip Cookie</v>
      </c>
      <c r="B2" t="str">
        <v>Bites</v>
      </c>
      <c r="C2" s="3">
        <f>SUM('Ingredients Pricing'!S36,'Ingredients Pricing'!S40,'Ingredients Pricing'!S41,'Ingredients Pricing'!S43,'Ingredients Pricing'!S46,'Ingredients Pricing'!S49,'Ingredients Pricing'!S53,'Ingredients Pricing'!S59,'Ingredients Pricing'!S60)</f>
        <v>865</v>
      </c>
      <c r="D2" s="7" t="str">
        <v>N/A</v>
      </c>
      <c r="E2" s="7">
        <f>C2/60</f>
        <v>14.41666667</v>
      </c>
      <c r="F2" s="7">
        <f>C2/70</f>
        <v>12.35714286</v>
      </c>
      <c r="G2" s="1">
        <f>sum('Ingredients Pricing'!U36,'Ingredients Pricing'!U40,'Ingredients Pricing'!U41,'Ingredients Pricing'!U43,'Ingredients Pricing'!U46,'Ingredients Pricing'!U49,'Ingredients Pricing'!U53,'Ingredients Pricing'!U59,'Ingredients Pricing'!U60)</f>
        <v>268.6824914</v>
      </c>
      <c r="H2" s="1">
        <f>G2/E2</f>
        <v>18.63693582</v>
      </c>
      <c r="I2" s="1">
        <f>G2/F2</f>
        <v>21.74309179</v>
      </c>
      <c r="J2" t="str">
        <v>N/A</v>
      </c>
    </row>
    <row r="3">
      <c r="A3" t="str">
        <v>Oat Raisin Cookie</v>
      </c>
      <c r="B3" t="str">
        <v>Bites</v>
      </c>
      <c r="C3" s="3">
        <f>sum('Ingredients Pricing'!S36,'Ingredients Pricing'!S39,'Ingredients Pricing'!S41,'Ingredients Pricing'!S45,'Ingredients Pricing'!S48,'Ingredients Pricing'!S52,'Ingredients Pricing'!S55,'Ingredients Pricing'!S62,'Ingredients Pricing'!S63,'Ingredients Pricing'!S64)</f>
        <v>928.3</v>
      </c>
      <c r="D3" s="7" t="str">
        <v>N/A</v>
      </c>
      <c r="E3" s="7">
        <f>C3/60</f>
        <v>15.47166667</v>
      </c>
      <c r="F3" s="7">
        <f>C3/70</f>
        <v>13.26142857</v>
      </c>
      <c r="G3" s="1">
        <f>sum('Ingredients Pricing'!U36,'Ingredients Pricing'!U39,'Ingredients Pricing'!U41,'Ingredients Pricing'!U45,'Ingredients Pricing'!U48,'Ingredients Pricing'!U52,'Ingredients Pricing'!U55,'Ingredients Pricing'!U62,'Ingredients Pricing'!U63,'Ingredients Pricing'!U64)</f>
        <v>281.1325</v>
      </c>
      <c r="H3" s="1">
        <f>G3/E3</f>
        <v>18.17079608</v>
      </c>
      <c r="I3" s="1">
        <f>G3/F3</f>
        <v>21.19926209</v>
      </c>
      <c r="J3" t="str">
        <v>N/A</v>
      </c>
    </row>
    <row r="4">
      <c r="A4" t="str">
        <v>Lemon Curd Cookie</v>
      </c>
      <c r="B4" t="str">
        <v>Bites</v>
      </c>
      <c r="C4" s="3">
        <f>sum('Ingredients Pricing'!S36,'Ingredients Pricing'!S37,'Ingredients Pricing'!S38,'Ingredients Pricing'!S41,'Ingredients Pricing'!S44,'Ingredients Pricing'!S47,'Ingredients Pricing'!S50,'Ingredients Pricing'!S54,'Ingredients Pricing'!S56,'Ingredients Pricing'!S61)</f>
        <v>613.275</v>
      </c>
      <c r="D4" s="7" t="str">
        <v>N/A</v>
      </c>
      <c r="E4" s="7">
        <f>C4/60</f>
        <v>10.22125</v>
      </c>
      <c r="F4" s="7">
        <f>C4/70</f>
        <v>8.761071429</v>
      </c>
      <c r="G4" s="1">
        <f>sum('Ingredients Pricing'!U36,'Ingredients Pricing'!U37,'Ingredients Pricing'!U38,'Ingredients Pricing'!U41,'Ingredients Pricing'!U44,'Ingredients Pricing'!U47,'Ingredients Pricing'!U50,'Ingredients Pricing'!U54,'Ingredients Pricing'!U56,'Ingredients Pricing'!U61)</f>
        <v>163.896425</v>
      </c>
      <c r="H4" s="1">
        <f>(G4/E4)+J5</f>
        <v>23.13282867</v>
      </c>
      <c r="I4" s="1">
        <f>(G4/F4)+J5</f>
        <v>25.80530716</v>
      </c>
      <c r="J4" t="str">
        <v>N/A</v>
      </c>
    </row>
    <row r="5">
      <c r="A5" t="str">
        <v>Lemon Curd</v>
      </c>
      <c r="B5" t="str">
        <v>Bites</v>
      </c>
      <c r="C5" s="3">
        <f>sum('Ingredients Pricing'!S42,'Ingredients Pricing'!S51,'Ingredients Pricing'!S57,'Ingredients Pricing'!S58)</f>
        <v>141.625</v>
      </c>
      <c r="D5" s="7">
        <f>C5/E4</f>
        <v>13.85593739</v>
      </c>
      <c r="E5" s="7" t="str">
        <v>N/A</v>
      </c>
      <c r="F5" s="7" t="str">
        <v>N/A</v>
      </c>
      <c r="G5" s="1">
        <f>sum('Ingredients Pricing'!U42,'Ingredients Pricing'!U51,'Ingredients Pricing'!U57,'Ingredients Pricing'!U58)</f>
        <v>72.55</v>
      </c>
      <c r="H5" t="str">
        <v>N/A</v>
      </c>
      <c r="I5" t="str">
        <v>N/A</v>
      </c>
      <c r="J5" s="1">
        <f>G5/E4</f>
        <v>7.097957686</v>
      </c>
    </row>
    <row r="7">
      <c r="C7" t="str">
        <v>divide dough to grams per cookie</v>
      </c>
    </row>
    <row r="8">
      <c r="C8" t="str">
        <v>final price per cookie-</v>
      </c>
    </row>
    <row r="9">
      <c r="C9" t="str">
        <v>(optional logic) masterdough gets stock from inventory, so cookie gets stock from masterdough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J100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cols>
    <col min="1" max="1" customWidth="1" width="24.11"/>
    <col min="2" max="2" customWidth="1" width="15"/>
    <col min="3" max="3" customWidth="1" width="15.89"/>
    <col min="4" max="4" customWidth="1" width="15.89"/>
    <col min="5" max="5" customWidth="1" width="16.11"/>
    <col min="6" max="6" customWidth="1" width="16.89"/>
    <col min="7" max="7" customWidth="1" width="19"/>
  </cols>
  <sheetData>
    <row r="1">
      <c r="A1" t="str">
        <v>Drinks</v>
      </c>
      <c r="B1" s="1" t="str">
        <v>Actual Price (8oz)</v>
      </c>
      <c r="C1" s="1" t="str">
        <v>Actual Price (12oz)</v>
      </c>
      <c r="D1" s="1" t="str">
        <v>Actual Price (16oz)</v>
      </c>
      <c r="E1" s="1" t="str">
        <v>Actual Price (Slice)</v>
      </c>
      <c r="F1" s="1" t="str">
        <v>Actual Price (Shots)</v>
      </c>
      <c r="G1" s="1" t="str">
        <v>Actual Price (Latte Art)</v>
      </c>
    </row>
    <row r="2">
      <c r="A2" t="str">
        <v>Americano Sunset</v>
      </c>
      <c r="B2" s="1" t="str">
        <v>N/A</v>
      </c>
      <c r="C2" s="1">
        <v>100</v>
      </c>
      <c r="D2" s="1" t="str">
        <v>N/A</v>
      </c>
      <c r="E2" s="1" t="str">
        <v>N/A</v>
      </c>
      <c r="F2" s="1" t="str">
        <v>N/A</v>
      </c>
      <c r="G2" s="1" t="str">
        <v>N/A</v>
      </c>
    </row>
    <row r="3">
      <c r="A3" t="str">
        <v>Iced Americano</v>
      </c>
      <c r="B3" s="1" t="str">
        <v>N/A</v>
      </c>
      <c r="C3" s="1">
        <v>75</v>
      </c>
      <c r="D3" s="1" t="str">
        <v>N/A</v>
      </c>
      <c r="E3" s="1" t="str">
        <v>N/A</v>
      </c>
      <c r="F3" s="1" t="str">
        <v>N/A</v>
      </c>
      <c r="G3" s="1" t="str">
        <v>N/A</v>
      </c>
    </row>
    <row r="4">
      <c r="A4" t="str">
        <v>Hot Americano</v>
      </c>
      <c r="B4" s="1">
        <v>60</v>
      </c>
      <c r="C4" s="1" t="str">
        <v>N/A</v>
      </c>
      <c r="D4" s="1" t="str">
        <v>N/A</v>
      </c>
      <c r="E4" s="1" t="str">
        <v>N/A</v>
      </c>
      <c r="F4" s="1" t="str">
        <v>N/A</v>
      </c>
      <c r="G4" s="1" t="str">
        <v>N/A</v>
      </c>
    </row>
    <row r="5">
      <c r="A5" t="str">
        <v>Cappuccino</v>
      </c>
      <c r="B5" s="1">
        <v>85</v>
      </c>
      <c r="C5" s="1">
        <v>95</v>
      </c>
      <c r="D5" s="1">
        <v>105</v>
      </c>
      <c r="E5" s="1" t="str">
        <v>N/A</v>
      </c>
      <c r="F5" s="1" t="str">
        <v>N/A</v>
      </c>
      <c r="G5" s="1" t="str">
        <v>N/A</v>
      </c>
    </row>
    <row r="6">
      <c r="A6" t="str">
        <v>Cafe Latte</v>
      </c>
      <c r="B6" s="1">
        <v>80</v>
      </c>
      <c r="C6" s="1">
        <v>90</v>
      </c>
      <c r="D6" s="1">
        <v>100</v>
      </c>
      <c r="E6" s="1" t="str">
        <v>N/A</v>
      </c>
      <c r="F6" s="1" t="str">
        <v>N/A</v>
      </c>
      <c r="G6" s="1" t="str">
        <v>N/A</v>
      </c>
    </row>
    <row r="7">
      <c r="A7" t="str">
        <v>Flat White</v>
      </c>
      <c r="B7" s="1">
        <v>75</v>
      </c>
      <c r="C7" s="1">
        <v>85</v>
      </c>
      <c r="D7" s="1">
        <v>95</v>
      </c>
      <c r="E7" s="1" t="str">
        <v>N/A</v>
      </c>
      <c r="F7" s="1" t="str">
        <v>N/A</v>
      </c>
      <c r="G7" s="1" t="str">
        <v>N/A</v>
      </c>
    </row>
    <row r="8">
      <c r="A8" t="str">
        <v>Oreo Kohi Latte</v>
      </c>
      <c r="B8" s="1" t="str">
        <v>N/A</v>
      </c>
      <c r="C8" s="1">
        <v>120</v>
      </c>
      <c r="D8" s="1">
        <v>135</v>
      </c>
      <c r="E8" s="1" t="str">
        <v>N/A</v>
      </c>
      <c r="F8" s="1" t="str">
        <v>N/A</v>
      </c>
      <c r="G8" s="1" t="str">
        <v>N/A</v>
      </c>
    </row>
    <row r="9">
      <c r="A9" t="str">
        <v>Caramel Macchiato</v>
      </c>
      <c r="B9" s="1" t="str">
        <v>N/A</v>
      </c>
      <c r="C9" s="1">
        <v>105</v>
      </c>
      <c r="D9" s="1">
        <v>135</v>
      </c>
      <c r="E9" s="1" t="str">
        <v>N/A</v>
      </c>
      <c r="F9" s="1" t="str">
        <v>N/A</v>
      </c>
      <c r="G9" s="1" t="str">
        <v>N/A</v>
      </c>
    </row>
    <row r="10">
      <c r="A10" t="str">
        <v>Spanish Latte</v>
      </c>
      <c r="B10" s="1" t="str">
        <v>N/A</v>
      </c>
      <c r="C10" s="1">
        <v>100</v>
      </c>
      <c r="D10" s="1">
        <v>115</v>
      </c>
      <c r="E10" s="1" t="str">
        <v>N/A</v>
      </c>
      <c r="F10" s="1" t="str">
        <v>N/A</v>
      </c>
      <c r="G10" s="1" t="str">
        <v>N/A</v>
      </c>
    </row>
    <row r="11">
      <c r="A11" t="str">
        <v>Hazelnut Latte</v>
      </c>
      <c r="B11" s="1" t="str">
        <v>N/A</v>
      </c>
      <c r="C11" s="1">
        <v>115</v>
      </c>
      <c r="D11" s="1">
        <v>135</v>
      </c>
      <c r="E11" s="1" t="str">
        <v>N/A</v>
      </c>
      <c r="F11" s="1" t="str">
        <v>N/A</v>
      </c>
      <c r="G11" s="1" t="str">
        <v>N/A</v>
      </c>
    </row>
    <row r="12" ht="15" customHeight="1">
      <c r="A12" t="str">
        <v>White Mocha Latte</v>
      </c>
      <c r="B12" s="1" t="str">
        <v>N/A</v>
      </c>
      <c r="C12" s="1">
        <v>120</v>
      </c>
      <c r="D12" s="1">
        <v>140</v>
      </c>
      <c r="E12" s="1" t="str">
        <v>N/A</v>
      </c>
      <c r="F12" s="1" t="str">
        <v>N/A</v>
      </c>
      <c r="G12" s="1" t="str">
        <v>N/A</v>
      </c>
    </row>
    <row r="13">
      <c r="A13" t="str">
        <v>Tiramisu Latte</v>
      </c>
      <c r="B13" s="1" t="str">
        <v>N/A</v>
      </c>
      <c r="C13" s="1">
        <v>150</v>
      </c>
      <c r="D13" s="1" t="str">
        <v>N/A</v>
      </c>
      <c r="E13" s="1" t="str">
        <v>N/A</v>
      </c>
      <c r="F13" s="1" t="str">
        <v>N/A</v>
      </c>
      <c r="G13" s="1" t="str">
        <v>N/A</v>
      </c>
    </row>
    <row r="14">
      <c r="A14" t="str">
        <v>Memento Latte</v>
      </c>
      <c r="B14" s="1" t="str">
        <v>N/A</v>
      </c>
      <c r="C14" s="1">
        <v>120</v>
      </c>
      <c r="D14" s="1">
        <v>140</v>
      </c>
      <c r="E14" s="1" t="str">
        <v>N/A</v>
      </c>
      <c r="F14" s="1" t="str">
        <v>N/A</v>
      </c>
      <c r="G14" s="1" t="str">
        <v>N/A</v>
      </c>
    </row>
    <row r="15">
      <c r="A15" t="str">
        <v>Double Mocha Cream</v>
      </c>
      <c r="B15" s="1" t="str">
        <v>N/A</v>
      </c>
      <c r="C15" s="1">
        <v>125</v>
      </c>
      <c r="D15" s="1">
        <v>140</v>
      </c>
      <c r="E15" s="1" t="str">
        <v>N/A</v>
      </c>
      <c r="F15" s="1" t="str">
        <v>N/A</v>
      </c>
      <c r="G15" s="1" t="str">
        <v>N/A</v>
      </c>
    </row>
    <row r="16">
      <c r="A16" t="str">
        <v>Espresso Cream</v>
      </c>
      <c r="B16" s="1" t="str">
        <v>N/A</v>
      </c>
      <c r="C16" s="1">
        <v>110</v>
      </c>
      <c r="D16" s="1">
        <v>125</v>
      </c>
      <c r="E16" s="1" t="str">
        <v>N/A</v>
      </c>
      <c r="F16" s="1" t="str">
        <v>N/A</v>
      </c>
      <c r="G16" s="1" t="str">
        <v>N/A</v>
      </c>
    </row>
    <row r="17">
      <c r="A17" t="str">
        <v>Biscoff Cream</v>
      </c>
      <c r="B17" s="1" t="str">
        <v>N/A</v>
      </c>
      <c r="C17" s="1">
        <v>140</v>
      </c>
      <c r="D17" s="1">
        <v>155</v>
      </c>
      <c r="E17" s="1" t="str">
        <v>N/A</v>
      </c>
      <c r="F17" s="1" t="str">
        <v>N/A</v>
      </c>
      <c r="G17" s="1" t="str">
        <v>N/A</v>
      </c>
    </row>
    <row r="18">
      <c r="A18" t="str">
        <v>Cacao Latte</v>
      </c>
      <c r="B18" s="1" t="str">
        <v>N/A</v>
      </c>
      <c r="C18" s="1">
        <v>100</v>
      </c>
      <c r="D18" s="1">
        <v>125</v>
      </c>
      <c r="E18" s="1" t="str">
        <v>N/A</v>
      </c>
      <c r="F18" s="1" t="str">
        <v>N/A</v>
      </c>
      <c r="G18" s="1" t="str">
        <v>N/A</v>
      </c>
    </row>
    <row r="19">
      <c r="A19" t="str">
        <v>Strawberry Latte</v>
      </c>
      <c r="B19" s="1" t="str">
        <v>N/A</v>
      </c>
      <c r="C19" s="1">
        <v>85</v>
      </c>
      <c r="D19" s="1">
        <v>100</v>
      </c>
      <c r="E19" s="1" t="str">
        <v>N/A</v>
      </c>
      <c r="F19" s="1" t="str">
        <v>N/A</v>
      </c>
      <c r="G19" s="1" t="str">
        <v>N/A</v>
      </c>
    </row>
    <row r="20">
      <c r="A20" t="str">
        <v>Blueberry Latte</v>
      </c>
      <c r="B20" s="1" t="str">
        <v>N/A</v>
      </c>
      <c r="C20" s="1">
        <v>85</v>
      </c>
      <c r="D20" s="1">
        <v>100</v>
      </c>
      <c r="E20" s="1" t="str">
        <v>N/A</v>
      </c>
      <c r="F20" s="1" t="str">
        <v>N/A</v>
      </c>
      <c r="G20" s="1" t="str">
        <v>N/A</v>
      </c>
    </row>
    <row r="21" ht="15.75" customHeight="1">
      <c r="A21" t="str">
        <v>Matcha Latte</v>
      </c>
      <c r="B21" s="1" t="str">
        <v>N/A</v>
      </c>
      <c r="C21" s="1">
        <v>145</v>
      </c>
      <c r="D21" s="1">
        <v>180</v>
      </c>
      <c r="E21" s="1" t="str">
        <v>N/A</v>
      </c>
      <c r="F21" s="1" t="str">
        <v>N/A</v>
      </c>
      <c r="G21" s="1" t="str">
        <v>N/A</v>
      </c>
    </row>
    <row r="22" ht="15.75" customHeight="1">
      <c r="A22" t="str">
        <v>Strawberry Choco Latte</v>
      </c>
      <c r="B22" s="1" t="str">
        <v>N/A</v>
      </c>
      <c r="C22" s="1">
        <v>105</v>
      </c>
      <c r="D22" s="1">
        <v>130</v>
      </c>
      <c r="E22" s="1" t="str">
        <v>N/A</v>
      </c>
      <c r="F22" s="1" t="str">
        <v>N/A</v>
      </c>
      <c r="G22" s="1" t="str">
        <v>N/A</v>
      </c>
    </row>
    <row r="23" ht="15.75" customHeight="1">
      <c r="A23" t="str">
        <v>Oreo Latte</v>
      </c>
      <c r="B23" s="1" t="str">
        <v>N/A</v>
      </c>
      <c r="C23" s="1">
        <v>120</v>
      </c>
      <c r="D23" s="1">
        <v>135</v>
      </c>
      <c r="E23" s="1" t="str">
        <v>N/A</v>
      </c>
      <c r="F23" s="1" t="str">
        <v>N/A</v>
      </c>
      <c r="G23" s="1" t="str">
        <v>N/A</v>
      </c>
    </row>
    <row r="24" ht="15.75" customHeight="1">
      <c r="A24" t="str">
        <v>3D Latte Art</v>
      </c>
      <c r="B24" s="1" t="str">
        <v>N/A</v>
      </c>
      <c r="C24" s="1" t="str">
        <v>N/A</v>
      </c>
      <c r="D24" s="1" t="str">
        <v>N/A</v>
      </c>
      <c r="E24" s="1" t="str">
        <v>N/A</v>
      </c>
      <c r="F24" s="1" t="str">
        <v>N/A</v>
      </c>
      <c r="G24" s="1">
        <v>50</v>
      </c>
    </row>
    <row r="25" ht="15.75" customHeight="1">
      <c r="A25" t="str">
        <v>Single Shot</v>
      </c>
      <c r="B25" s="1" t="str">
        <v>N/A</v>
      </c>
      <c r="C25" s="1" t="str">
        <v>N/A</v>
      </c>
      <c r="D25" s="1" t="str">
        <v>N/A</v>
      </c>
      <c r="E25" s="1" t="str">
        <v>N/A</v>
      </c>
      <c r="F25" s="1">
        <v>30</v>
      </c>
      <c r="G25" s="1" t="str">
        <v>N/A</v>
      </c>
    </row>
    <row r="26" ht="15.75" customHeight="1">
      <c r="A26" t="str">
        <v>Doppio</v>
      </c>
      <c r="B26" s="1" t="str">
        <v>N/A</v>
      </c>
      <c r="C26" s="1" t="str">
        <v>N/A</v>
      </c>
      <c r="D26" s="1" t="str">
        <v>N/A</v>
      </c>
      <c r="E26" s="1" t="str">
        <v>N/A</v>
      </c>
      <c r="F26" s="1">
        <v>50</v>
      </c>
      <c r="G26" s="1" t="str">
        <v>N/A</v>
      </c>
    </row>
    <row r="27" ht="15.75" customHeight="1">
      <c r="A27" t="str">
        <v>Triple Shot</v>
      </c>
      <c r="B27" s="1" t="str">
        <v>N/A</v>
      </c>
      <c r="C27" s="1" t="str">
        <v>N/A</v>
      </c>
      <c r="D27" s="1" t="str">
        <v>N/A</v>
      </c>
      <c r="E27" s="1" t="str">
        <v>N/A</v>
      </c>
      <c r="F27" s="1">
        <v>70</v>
      </c>
      <c r="G27" s="1" t="str">
        <v>N/A</v>
      </c>
    </row>
    <row r="28" ht="15.75" customHeight="1">
      <c r="A28" t="str">
        <v>Bottled Americano</v>
      </c>
      <c r="B28" s="1" t="str">
        <v>N/A</v>
      </c>
      <c r="C28" s="1" t="str">
        <v>N/A</v>
      </c>
      <c r="D28" s="1" t="str">
        <v>N/A</v>
      </c>
      <c r="E28" s="1" t="str">
        <v>N/A</v>
      </c>
      <c r="F28" s="1" t="str">
        <v>N/A</v>
      </c>
      <c r="G28" s="1" t="str">
        <v>N/A</v>
      </c>
    </row>
    <row r="29" ht="15.75" customHeight="1">
      <c r="A29" t="str">
        <v>Bottled Cafe Latte</v>
      </c>
      <c r="B29" s="1" t="str">
        <v>N/A</v>
      </c>
      <c r="C29" s="1" t="str">
        <v>N/A</v>
      </c>
      <c r="D29" s="1" t="str">
        <v>N/A</v>
      </c>
      <c r="E29" s="1" t="str">
        <v>N/A</v>
      </c>
      <c r="F29" s="1" t="str">
        <v>N/A</v>
      </c>
      <c r="G29" s="1" t="str">
        <v>N/A</v>
      </c>
    </row>
    <row r="30" ht="15.75" customHeight="1">
      <c r="A30" t="str">
        <v>Bottled Oreo Kohi Latte</v>
      </c>
      <c r="B30" s="1" t="str">
        <v>N/A</v>
      </c>
      <c r="C30" s="1" t="str">
        <v>N/A</v>
      </c>
      <c r="D30" s="1" t="str">
        <v>N/A</v>
      </c>
      <c r="E30" s="1" t="str">
        <v>N/A</v>
      </c>
      <c r="F30" s="1" t="str">
        <v>N/A</v>
      </c>
      <c r="G30" s="1" t="str">
        <v>N/A</v>
      </c>
    </row>
    <row r="31" ht="15.75" customHeight="1">
      <c r="A31" t="str">
        <v>Bottled Caramel Macchiato</v>
      </c>
      <c r="B31" s="1" t="str">
        <v>N/A</v>
      </c>
      <c r="C31" s="1" t="str">
        <v>N/A</v>
      </c>
      <c r="D31" s="1" t="str">
        <v>N/A</v>
      </c>
      <c r="E31" s="1" t="str">
        <v>N/A</v>
      </c>
      <c r="F31" s="1" t="str">
        <v>N/A</v>
      </c>
      <c r="G31" s="1" t="str">
        <v>N/A</v>
      </c>
    </row>
    <row r="32" ht="15.75" customHeight="1">
      <c r="A32" t="str">
        <v>Bottled Spanish Latte</v>
      </c>
      <c r="B32" s="1" t="str">
        <v>N/A</v>
      </c>
      <c r="C32" s="1" t="str">
        <v>N/A</v>
      </c>
      <c r="D32" s="1" t="str">
        <v>N/A</v>
      </c>
      <c r="E32" s="1" t="str">
        <v>N/A</v>
      </c>
      <c r="F32" s="1" t="str">
        <v>N/A</v>
      </c>
      <c r="G32" s="1" t="str">
        <v>N/A</v>
      </c>
    </row>
    <row r="33" ht="15.75" customHeight="1">
      <c r="A33" t="str">
        <v>Bottled Cacao Latte</v>
      </c>
      <c r="B33" s="1" t="str">
        <v>N/A</v>
      </c>
      <c r="C33" s="1" t="str">
        <v>N/A</v>
      </c>
      <c r="D33" s="1" t="str">
        <v>N/A</v>
      </c>
      <c r="E33" s="1" t="str">
        <v>N/A</v>
      </c>
      <c r="F33" s="1" t="str">
        <v>N/A</v>
      </c>
      <c r="G33" s="1" t="str">
        <v>N/A</v>
      </c>
    </row>
    <row r="34" ht="15.75" customHeight="1">
      <c r="A34" t="str">
        <v>Bottled Strawberry Latte</v>
      </c>
      <c r="B34" s="1" t="str">
        <v>N/A</v>
      </c>
      <c r="C34" s="1" t="str">
        <v>N/A</v>
      </c>
      <c r="D34" s="1" t="str">
        <v>N/A</v>
      </c>
      <c r="E34" s="1" t="str">
        <v>N/A</v>
      </c>
      <c r="F34" s="1" t="str">
        <v>N/A</v>
      </c>
      <c r="G34" s="1" t="str">
        <v>N/A</v>
      </c>
    </row>
    <row r="35" ht="15.75" customHeight="1">
      <c r="A35" t="str">
        <v>Bottled Blueberry Latte</v>
      </c>
      <c r="B35" s="1" t="str">
        <v>N/A</v>
      </c>
      <c r="C35" s="1" t="str">
        <v>N/A</v>
      </c>
      <c r="D35" s="1" t="str">
        <v>N/A</v>
      </c>
      <c r="E35" s="1" t="str">
        <v>N/A</v>
      </c>
      <c r="F35" s="1" t="str">
        <v>N/A</v>
      </c>
      <c r="G35" s="1" t="str">
        <v>N/A</v>
      </c>
    </row>
    <row r="36" ht="15.75" customHeight="1">
      <c r="A36" t="str">
        <v>Bottled Matcha Latte</v>
      </c>
      <c r="B36" s="1" t="str">
        <v>N/A</v>
      </c>
      <c r="C36" s="1" t="str">
        <v>N/A</v>
      </c>
      <c r="D36" s="1" t="str">
        <v>N/A</v>
      </c>
      <c r="E36" s="1" t="str">
        <v>N/A</v>
      </c>
      <c r="F36" s="1" t="str">
        <v>N/A</v>
      </c>
      <c r="G36" s="1" t="str">
        <v>N/A</v>
      </c>
    </row>
    <row r="37" ht="15.75" customHeight="1">
      <c r="A37" t="str">
        <v>Bottled Strawberry Choco Latte</v>
      </c>
      <c r="B37" s="1" t="str">
        <v>N/A</v>
      </c>
      <c r="C37" s="1" t="str">
        <v>N/A</v>
      </c>
      <c r="D37" s="1" t="str">
        <v>N/A</v>
      </c>
      <c r="E37" s="1" t="str">
        <v>N/A</v>
      </c>
      <c r="F37" s="1" t="str">
        <v>N/A</v>
      </c>
      <c r="G37" s="1" t="str">
        <v>N/A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G1000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cols>
    <col min="1" max="1" customWidth="1" width="15.89"/>
    <col min="2" max="2" customWidth="1" width="9.67"/>
    <col min="3" max="3" customWidth="1" width="9.67"/>
  </cols>
  <sheetData>
    <row r="1">
      <c r="A1" t="str">
        <v>Food</v>
      </c>
      <c r="B1" s="1" t="str">
        <v>60g cookie</v>
      </c>
      <c r="C1" s="1" t="str">
        <v>70g cookie</v>
      </c>
    </row>
    <row r="2">
      <c r="A2" t="str">
        <v>Choco Chip Cookie</v>
      </c>
      <c r="B2" s="1">
        <v>75</v>
      </c>
      <c r="C2" s="1" t="str">
        <v>N/A</v>
      </c>
    </row>
    <row r="3">
      <c r="A3" t="str">
        <v>Oat Raisin Cookie</v>
      </c>
      <c r="B3" s="1" t="str">
        <v>N/A</v>
      </c>
      <c r="C3" s="1">
        <v>80</v>
      </c>
    </row>
    <row r="4">
      <c r="A4" t="str">
        <v>Lemon Curd Cookie</v>
      </c>
      <c r="B4" s="1">
        <v>70</v>
      </c>
      <c r="C4" s="1" t="str">
        <v>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ignoredErrors>
    <ignoredError numberStoredAsText="1" sqref="A1:C1000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0"/>
  <sheetViews>
    <sheetView workbookViewId="0" rightToLeft="0"/>
  </sheetViews>
  <sheetData>
    <row r="1">
      <c r="A1" t="str">
        <v>Date</v>
      </c>
      <c r="B1" t="str">
        <v>Time</v>
      </c>
      <c r="C1" t="str">
        <v>Drink</v>
      </c>
      <c r="D1" t="str">
        <v>Size</v>
      </c>
      <c r="E1" t="str">
        <v>Qty</v>
      </c>
      <c r="F1" t="str">
        <v>Price</v>
      </c>
      <c r="G1" t="str">
        <v>Revenue</v>
      </c>
      <c r="H1" t="str">
        <v>Net Profit</v>
      </c>
      <c r="I1" t="str">
        <v>Notes</v>
      </c>
      <c r="J1" t="str">
        <v>Customer</v>
      </c>
      <c r="K1" t="str">
        <v>Method</v>
      </c>
      <c r="L1" t="str">
        <v>Temperature</v>
      </c>
      <c r="M1" t="str">
        <v>OrderNo</v>
      </c>
      <c r="N1" t="str">
        <v>Address</v>
      </c>
      <c r="O1" t="str">
        <v>Timestamp</v>
      </c>
    </row>
    <row r="2">
      <c r="A2" t="str">
        <v>2026-05-29</v>
      </c>
      <c r="B2" t="str">
        <v>10:38 PM</v>
      </c>
      <c r="C2" t="str">
        <v>Strawberry Latte</v>
      </c>
      <c r="D2" t="str">
        <v>12oz</v>
      </c>
      <c r="E2">
        <v>1</v>
      </c>
      <c r="F2">
        <v>85</v>
      </c>
      <c r="G2" t="str">
        <v>85</v>
      </c>
      <c r="H2" t="str">
        <v>42.8</v>
      </c>
      <c r="I2" t="str">
        <v/>
      </c>
      <c r="J2" t="str">
        <v>EVS 5/36</v>
      </c>
      <c r="K2" t="str">
        <v>GCASH</v>
      </c>
      <c r="L2" t="str">
        <v/>
      </c>
      <c r="M2">
        <v>1</v>
      </c>
      <c r="N2" t="str">
        <v/>
      </c>
      <c r="O2" t="str">
        <v/>
      </c>
    </row>
    <row r="3">
      <c r="A3" t="str">
        <v>2026-05-29</v>
      </c>
      <c r="B3" t="str">
        <v>10:38 PM</v>
      </c>
      <c r="C3" t="str">
        <v>Choco Chip Cookie</v>
      </c>
      <c r="D3" t="str">
        <v>60g</v>
      </c>
      <c r="E3">
        <v>1</v>
      </c>
      <c r="F3">
        <v>75</v>
      </c>
      <c r="G3" t="str">
        <v>75</v>
      </c>
      <c r="H3" t="str">
        <v>57.34</v>
      </c>
      <c r="I3" t="str">
        <v/>
      </c>
      <c r="J3" t="str">
        <v>EVS 5/36</v>
      </c>
      <c r="K3" t="str">
        <v>GCASH</v>
      </c>
      <c r="L3" t="str">
        <v/>
      </c>
      <c r="M3">
        <v>1</v>
      </c>
      <c r="N3" t="str">
        <v/>
      </c>
      <c r="O3" t="str">
        <v/>
      </c>
    </row>
    <row r="4">
      <c r="A4" t="str">
        <v>2026-05-30</v>
      </c>
      <c r="B4" t="str">
        <v>10:39 PM</v>
      </c>
      <c r="C4" t="str">
        <v>Spanish Latte</v>
      </c>
      <c r="D4" t="str">
        <v>16oz</v>
      </c>
      <c r="E4">
        <v>1</v>
      </c>
      <c r="F4">
        <v>115</v>
      </c>
      <c r="G4" t="str">
        <v>115</v>
      </c>
      <c r="H4" t="str">
        <v>71.05</v>
      </c>
      <c r="I4" t="str">
        <v/>
      </c>
      <c r="J4" t="str">
        <v>AST 12/16</v>
      </c>
      <c r="K4" t="str">
        <v>GCASH</v>
      </c>
      <c r="L4" t="str">
        <v/>
      </c>
      <c r="M4">
        <v>2</v>
      </c>
      <c r="N4" t="str">
        <v/>
      </c>
      <c r="O4" t="str">
        <v/>
      </c>
    </row>
    <row r="5">
      <c r="A5" t="str">
        <v>2026-05-30</v>
      </c>
      <c r="B5" t="str">
        <v>10:39 PM</v>
      </c>
      <c r="C5" t="str">
        <v>Choco Chip Cookie</v>
      </c>
      <c r="D5" t="str">
        <v>60g</v>
      </c>
      <c r="E5">
        <v>1</v>
      </c>
      <c r="F5">
        <v>75</v>
      </c>
      <c r="G5" t="str">
        <v>75</v>
      </c>
      <c r="H5" t="str">
        <v>57.34</v>
      </c>
      <c r="I5" t="str">
        <v/>
      </c>
      <c r="J5" t="str">
        <v>AST 12/16</v>
      </c>
      <c r="K5" t="str">
        <v>GCASH</v>
      </c>
      <c r="L5" t="str">
        <v/>
      </c>
      <c r="M5">
        <v>2</v>
      </c>
      <c r="N5" t="str">
        <v/>
      </c>
      <c r="O5" t="str">
        <v/>
      </c>
    </row>
    <row r="6">
      <c r="A6" t="str">
        <v>2026-05-30</v>
      </c>
      <c r="B6" t="str">
        <v>10:40 PM</v>
      </c>
      <c r="C6" t="str">
        <v>Cafe Latte</v>
      </c>
      <c r="D6" t="str">
        <v>8oz</v>
      </c>
      <c r="E6">
        <v>1</v>
      </c>
      <c r="F6">
        <v>80</v>
      </c>
      <c r="G6" t="str">
        <v>80</v>
      </c>
      <c r="H6" t="str">
        <v>41.75</v>
      </c>
      <c r="I6" t="str">
        <v/>
      </c>
      <c r="J6" t="str">
        <v>EVS 3/45</v>
      </c>
      <c r="K6" t="str">
        <v>GCASH</v>
      </c>
      <c r="L6" t="str">
        <v/>
      </c>
      <c r="M6">
        <v>3</v>
      </c>
      <c r="N6" t="str">
        <v/>
      </c>
      <c r="O6" t="str">
        <v/>
      </c>
    </row>
    <row r="7">
      <c r="A7" t="str">
        <v>2026-05-30</v>
      </c>
      <c r="B7" t="str">
        <v>10:40 PM</v>
      </c>
      <c r="C7" t="str">
        <v>Cacao Latte</v>
      </c>
      <c r="D7" t="str">
        <v>12oz</v>
      </c>
      <c r="E7">
        <v>1</v>
      </c>
      <c r="F7">
        <v>100</v>
      </c>
      <c r="G7" t="str">
        <v>100</v>
      </c>
      <c r="H7" t="str">
        <v>50.69</v>
      </c>
      <c r="I7" t="str">
        <v/>
      </c>
      <c r="J7" t="str">
        <v>EVS 3/45</v>
      </c>
      <c r="K7" t="str">
        <v>GCASH</v>
      </c>
      <c r="L7" t="str">
        <v/>
      </c>
      <c r="M7">
        <v>3</v>
      </c>
      <c r="N7" t="str">
        <v/>
      </c>
      <c r="O7" t="str">
        <v/>
      </c>
    </row>
    <row r="8">
      <c r="A8" t="str">
        <v>2026-06-01</v>
      </c>
      <c r="B8" t="str">
        <v>10:42 PM</v>
      </c>
      <c r="C8" t="str">
        <v>Memento Latte</v>
      </c>
      <c r="D8" t="str">
        <v>12oz</v>
      </c>
      <c r="E8">
        <v>2</v>
      </c>
      <c r="F8">
        <v>120</v>
      </c>
      <c r="G8" t="str">
        <v>240</v>
      </c>
      <c r="H8" t="str">
        <v>136.23</v>
      </c>
      <c r="I8" t="str">
        <v/>
      </c>
      <c r="J8" t="str">
        <v>EVS 8/6</v>
      </c>
      <c r="K8" t="str">
        <v>CASH</v>
      </c>
      <c r="L8" t="str">
        <v/>
      </c>
      <c r="M8">
        <v>4</v>
      </c>
      <c r="N8" t="str">
        <v/>
      </c>
      <c r="O8" t="str">
        <v/>
      </c>
    </row>
    <row r="9">
      <c r="A9" t="str">
        <v>2026-06-01</v>
      </c>
      <c r="B9" t="str">
        <v>10:42 PM</v>
      </c>
      <c r="C9" t="str">
        <v>Memento Latte</v>
      </c>
      <c r="D9" t="str">
        <v>12oz</v>
      </c>
      <c r="E9">
        <v>1</v>
      </c>
      <c r="F9">
        <v>120</v>
      </c>
      <c r="G9" t="str">
        <v>120</v>
      </c>
      <c r="H9" t="str">
        <v>68.11</v>
      </c>
      <c r="I9" t="str">
        <v/>
      </c>
      <c r="J9" t="str">
        <v>WALK-IN</v>
      </c>
      <c r="K9" t="str">
        <v>CASH</v>
      </c>
      <c r="L9" t="str">
        <v/>
      </c>
      <c r="M9">
        <v>5</v>
      </c>
      <c r="N9" t="str">
        <v/>
      </c>
      <c r="O9" t="str">
        <v/>
      </c>
    </row>
    <row r="10">
      <c r="A10" t="str">
        <v>2026-06-01</v>
      </c>
      <c r="B10" t="str">
        <v>10:43 PM</v>
      </c>
      <c r="C10" t="str">
        <v>Hot Americano</v>
      </c>
      <c r="D10" t="str">
        <v>8oz</v>
      </c>
      <c r="E10">
        <v>1</v>
      </c>
      <c r="F10">
        <v>60</v>
      </c>
      <c r="G10" t="str">
        <v>60</v>
      </c>
      <c r="H10" t="str">
        <v>40.94</v>
      </c>
      <c r="I10" t="str">
        <v/>
      </c>
      <c r="J10" t="str">
        <v>AST 4/7</v>
      </c>
      <c r="K10" t="str">
        <v>CASH</v>
      </c>
      <c r="L10" t="str">
        <v/>
      </c>
      <c r="M10">
        <v>6</v>
      </c>
      <c r="N10" t="str">
        <v/>
      </c>
      <c r="O10" t="str">
        <v/>
      </c>
    </row>
    <row r="11">
      <c r="A11" t="str">
        <v>2026-06-01</v>
      </c>
      <c r="B11" t="str">
        <v>10:44 PM</v>
      </c>
      <c r="C11" t="str">
        <v>Memento Latte</v>
      </c>
      <c r="D11" t="str">
        <v>16oz</v>
      </c>
      <c r="E11">
        <v>2</v>
      </c>
      <c r="F11">
        <v>140</v>
      </c>
      <c r="G11" t="str">
        <v>280</v>
      </c>
      <c r="H11" t="str">
        <v>162.11</v>
      </c>
      <c r="I11" t="str">
        <v/>
      </c>
      <c r="J11" t="str">
        <v>WALK-IN</v>
      </c>
      <c r="K11" t="str">
        <v>CASH</v>
      </c>
      <c r="L11" t="str">
        <v/>
      </c>
      <c r="M11">
        <v>7</v>
      </c>
      <c r="N11" t="str">
        <v/>
      </c>
      <c r="O11" t="str">
        <v/>
      </c>
    </row>
    <row r="12">
      <c r="A12" t="str">
        <v>2026-06-01</v>
      </c>
      <c r="B12" t="str">
        <v>10:45 PM</v>
      </c>
      <c r="C12" t="str">
        <v>Memento Latte</v>
      </c>
      <c r="D12" t="str">
        <v>16oz</v>
      </c>
      <c r="E12">
        <v>1</v>
      </c>
      <c r="F12">
        <v>140</v>
      </c>
      <c r="G12" t="str">
        <v>140</v>
      </c>
      <c r="H12" t="str">
        <v>81.05</v>
      </c>
      <c r="I12" t="str">
        <v/>
      </c>
      <c r="J12" t="str">
        <v>EVS 3/15</v>
      </c>
      <c r="K12" t="str">
        <v>GCASH</v>
      </c>
      <c r="L12" t="str">
        <v/>
      </c>
      <c r="M12">
        <v>8</v>
      </c>
      <c r="N12" t="str">
        <v/>
      </c>
      <c r="O12" t="str">
        <v/>
      </c>
    </row>
    <row r="13">
      <c r="A13" t="str">
        <v>2026-06-01</v>
      </c>
      <c r="B13" t="str">
        <v>10:52 PM</v>
      </c>
      <c r="C13" t="str">
        <v>Memento Latte</v>
      </c>
      <c r="D13" t="str">
        <v>16oz</v>
      </c>
      <c r="E13">
        <v>1</v>
      </c>
      <c r="F13">
        <v>140</v>
      </c>
      <c r="G13" t="str">
        <v>140</v>
      </c>
      <c r="H13" t="str">
        <v>81.05</v>
      </c>
      <c r="I13" t="str">
        <v/>
      </c>
      <c r="J13" t="str">
        <v>AST 13/7</v>
      </c>
      <c r="K13" t="str">
        <v>CASH</v>
      </c>
      <c r="L13" t="str">
        <v/>
      </c>
      <c r="M13">
        <v>9</v>
      </c>
      <c r="N13" t="str">
        <v/>
      </c>
      <c r="O13" t="str">
        <v/>
      </c>
    </row>
    <row r="14">
      <c r="A14" t="str">
        <v>2026-06-02</v>
      </c>
      <c r="B14" t="str">
        <v>10:53 PM</v>
      </c>
      <c r="C14" t="str">
        <v>Cafe Latte</v>
      </c>
      <c r="D14" t="str">
        <v>16oz</v>
      </c>
      <c r="E14">
        <v>2</v>
      </c>
      <c r="F14">
        <v>100</v>
      </c>
      <c r="G14" t="str">
        <v>200</v>
      </c>
      <c r="H14" t="str">
        <v>119.59</v>
      </c>
      <c r="I14" t="str">
        <v/>
      </c>
      <c r="J14" t="str">
        <v>EVS 8/6</v>
      </c>
      <c r="K14" t="str">
        <v>CASH</v>
      </c>
      <c r="L14" t="str">
        <v/>
      </c>
      <c r="M14">
        <v>10</v>
      </c>
      <c r="N14" t="str">
        <v/>
      </c>
      <c r="O14" t="str">
        <v/>
      </c>
    </row>
    <row r="15">
      <c r="A15" t="str">
        <v>2026-06-02</v>
      </c>
      <c r="B15" t="str">
        <v>10:54 PM</v>
      </c>
      <c r="C15" t="str">
        <v>Cappuccino</v>
      </c>
      <c r="D15" t="str">
        <v>12oz</v>
      </c>
      <c r="E15">
        <v>1</v>
      </c>
      <c r="F15">
        <v>95</v>
      </c>
      <c r="G15" t="str">
        <v>95</v>
      </c>
      <c r="H15" t="str">
        <v>60.25</v>
      </c>
      <c r="I15" t="str">
        <v/>
      </c>
      <c r="J15" t="str">
        <v>WALK-IN</v>
      </c>
      <c r="K15" t="str">
        <v>CASH</v>
      </c>
      <c r="L15" t="str">
        <v/>
      </c>
      <c r="M15">
        <v>11</v>
      </c>
      <c r="N15" t="str">
        <v/>
      </c>
      <c r="O15" t="str">
        <v/>
      </c>
    </row>
    <row r="16">
      <c r="A16" t="str">
        <v>2026-06-02</v>
      </c>
      <c r="B16" t="str">
        <v>10:55 PM</v>
      </c>
      <c r="C16" t="str">
        <v>Caramel Macchiato</v>
      </c>
      <c r="D16" t="str">
        <v>12oz</v>
      </c>
      <c r="E16">
        <v>1</v>
      </c>
      <c r="F16">
        <v>105</v>
      </c>
      <c r="G16" t="str">
        <v>105</v>
      </c>
      <c r="H16" t="str">
        <v>49.48</v>
      </c>
      <c r="I16" t="str">
        <v/>
      </c>
      <c r="J16" t="str">
        <v>WALK-IN</v>
      </c>
      <c r="K16" t="str">
        <v>CASH</v>
      </c>
      <c r="L16" t="str">
        <v/>
      </c>
      <c r="M16">
        <v>12</v>
      </c>
      <c r="N16" t="str">
        <v/>
      </c>
      <c r="O16" t="str">
        <v/>
      </c>
    </row>
    <row r="17">
      <c r="A17" t="str">
        <v>2026-06-02</v>
      </c>
      <c r="B17" t="str">
        <v>10:56 PM</v>
      </c>
      <c r="C17" t="str">
        <v>Strawberry Latte</v>
      </c>
      <c r="D17" t="str">
        <v>12oz</v>
      </c>
      <c r="E17">
        <v>1</v>
      </c>
      <c r="F17">
        <v>85</v>
      </c>
      <c r="G17" t="str">
        <v>85</v>
      </c>
      <c r="H17" t="str">
        <v>42.8</v>
      </c>
      <c r="I17" t="str">
        <v/>
      </c>
      <c r="J17" t="str">
        <v>WALK-IN</v>
      </c>
      <c r="K17" t="str">
        <v>CASH</v>
      </c>
      <c r="L17" t="str">
        <v/>
      </c>
      <c r="M17">
        <v>13</v>
      </c>
      <c r="N17" t="str">
        <v/>
      </c>
      <c r="O17" t="str">
        <v/>
      </c>
    </row>
    <row r="18">
      <c r="A18" t="str">
        <v>2026-06-02</v>
      </c>
      <c r="B18" t="str">
        <v>10:57 PM</v>
      </c>
      <c r="C18" t="str">
        <v>Memento Latte</v>
      </c>
      <c r="D18" t="str">
        <v>16oz</v>
      </c>
      <c r="E18">
        <v>1</v>
      </c>
      <c r="F18">
        <v>140</v>
      </c>
      <c r="G18" t="str">
        <v>140</v>
      </c>
      <c r="H18" t="str">
        <v>81.05</v>
      </c>
      <c r="I18" t="str">
        <v/>
      </c>
      <c r="J18" t="str">
        <v>EVS 3/15</v>
      </c>
      <c r="K18" t="str">
        <v>GCASH</v>
      </c>
      <c r="L18" t="str">
        <v/>
      </c>
      <c r="M18">
        <v>14</v>
      </c>
      <c r="N18" t="str">
        <v/>
      </c>
      <c r="O18" t="str">
        <v/>
      </c>
    </row>
    <row r="19">
      <c r="A19" t="str">
        <v>2026-06-03</v>
      </c>
      <c r="B19" t="str">
        <v>10:57 PM</v>
      </c>
      <c r="C19" t="str">
        <v>Iced Americano</v>
      </c>
      <c r="D19" t="str">
        <v>12oz</v>
      </c>
      <c r="E19">
        <v>1</v>
      </c>
      <c r="F19">
        <v>75</v>
      </c>
      <c r="G19" t="str">
        <v>75</v>
      </c>
      <c r="H19" t="str">
        <v>54.29</v>
      </c>
      <c r="I19" t="str">
        <v/>
      </c>
      <c r="J19" t="str">
        <v>WALK-IN</v>
      </c>
      <c r="K19" t="str">
        <v>GCASH</v>
      </c>
      <c r="L19" t="str">
        <v/>
      </c>
      <c r="M19">
        <v>15</v>
      </c>
      <c r="N19" t="str">
        <v/>
      </c>
      <c r="O19" t="str">
        <v/>
      </c>
    </row>
    <row r="20">
      <c r="A20" t="str">
        <v>2026-06-03</v>
      </c>
      <c r="B20" t="str">
        <v>10:58 PM</v>
      </c>
      <c r="C20" t="str">
        <v>Caramel Macchiato</v>
      </c>
      <c r="D20" t="str">
        <v>12oz</v>
      </c>
      <c r="E20">
        <v>1</v>
      </c>
      <c r="F20">
        <v>105</v>
      </c>
      <c r="G20" t="str">
        <v>105</v>
      </c>
      <c r="H20" t="str">
        <v>49.48</v>
      </c>
      <c r="I20" t="str">
        <v/>
      </c>
      <c r="J20" t="str">
        <v>WALK-IN</v>
      </c>
      <c r="K20" t="str">
        <v>GCASH</v>
      </c>
      <c r="L20" t="str">
        <v/>
      </c>
      <c r="M20">
        <v>16</v>
      </c>
      <c r="N20" t="str">
        <v/>
      </c>
      <c r="O20" t="str">
        <v/>
      </c>
    </row>
    <row r="21">
      <c r="A21" t="str">
        <v>2026-06-03</v>
      </c>
      <c r="B21" t="str">
        <v>10:59 PM</v>
      </c>
      <c r="C21" t="str">
        <v>Strawberry Choco Latte</v>
      </c>
      <c r="D21" t="str">
        <v>12oz</v>
      </c>
      <c r="E21">
        <v>1</v>
      </c>
      <c r="F21">
        <v>105</v>
      </c>
      <c r="G21" t="str">
        <v>105</v>
      </c>
      <c r="H21" t="str">
        <v>53.35</v>
      </c>
      <c r="I21" t="str">
        <v/>
      </c>
      <c r="J21" t="str">
        <v>EVS 5/36</v>
      </c>
      <c r="K21" t="str">
        <v>GCASH</v>
      </c>
      <c r="L21" t="str">
        <v/>
      </c>
      <c r="M21">
        <v>17</v>
      </c>
      <c r="N21" t="str">
        <v/>
      </c>
      <c r="O21" t="str">
        <v/>
      </c>
    </row>
    <row r="22">
      <c r="A22" t="str">
        <v>2026-06-03</v>
      </c>
      <c r="B22" t="str">
        <v>10:59 PM</v>
      </c>
      <c r="C22" t="str">
        <v>Memento Latte</v>
      </c>
      <c r="D22" t="str">
        <v>16oz</v>
      </c>
      <c r="E22">
        <v>1</v>
      </c>
      <c r="F22">
        <v>140</v>
      </c>
      <c r="G22" t="str">
        <v>140</v>
      </c>
      <c r="H22" t="str">
        <v>81.05</v>
      </c>
      <c r="I22" t="str">
        <v/>
      </c>
      <c r="J22" t="str">
        <v>EVS 3/15</v>
      </c>
      <c r="K22" t="str">
        <v>GCASH</v>
      </c>
      <c r="L22" t="str">
        <v/>
      </c>
      <c r="M22">
        <v>18</v>
      </c>
      <c r="N22" t="str">
        <v/>
      </c>
      <c r="O22" t="str">
        <v/>
      </c>
    </row>
    <row r="23">
      <c r="A23" t="str">
        <v>2026-06-04</v>
      </c>
      <c r="B23" t="str">
        <v>11:01 PM</v>
      </c>
      <c r="C23" t="str">
        <v>Biscoff Cream</v>
      </c>
      <c r="D23" t="str">
        <v>16oz</v>
      </c>
      <c r="E23">
        <v>1</v>
      </c>
      <c r="F23">
        <v>155</v>
      </c>
      <c r="G23" t="str">
        <v>155</v>
      </c>
      <c r="H23" t="str">
        <v>49.88</v>
      </c>
      <c r="I23" t="str">
        <v/>
      </c>
      <c r="J23" t="str">
        <v>NAV 4/31</v>
      </c>
      <c r="K23" t="str">
        <v>CASH</v>
      </c>
      <c r="L23" t="str">
        <v/>
      </c>
      <c r="M23">
        <v>19</v>
      </c>
      <c r="N23" t="str">
        <v/>
      </c>
      <c r="O23" t="str">
        <v/>
      </c>
    </row>
    <row r="24">
      <c r="A24" t="str">
        <v>2026-06-04</v>
      </c>
      <c r="B24" t="str">
        <v>11:01 PM</v>
      </c>
      <c r="C24" t="str">
        <v>Strawberry Choco Latte</v>
      </c>
      <c r="D24" t="str">
        <v>16oz</v>
      </c>
      <c r="E24">
        <v>1</v>
      </c>
      <c r="F24">
        <v>130</v>
      </c>
      <c r="G24" t="str">
        <v>130</v>
      </c>
      <c r="H24" t="str">
        <v>69.1</v>
      </c>
      <c r="I24" t="str">
        <v/>
      </c>
      <c r="J24" t="str">
        <v>NAV 4/31</v>
      </c>
      <c r="K24" t="str">
        <v>CASH</v>
      </c>
      <c r="L24" t="str">
        <v/>
      </c>
      <c r="M24">
        <v>19</v>
      </c>
      <c r="N24" t="str">
        <v/>
      </c>
      <c r="O24" t="str">
        <v/>
      </c>
    </row>
    <row r="25">
      <c r="A25" t="str">
        <v>2026-06-04</v>
      </c>
      <c r="B25" t="str">
        <v>11:03 PM</v>
      </c>
      <c r="C25" t="str">
        <v>Strawberry Latte</v>
      </c>
      <c r="D25" t="str">
        <v>16oz</v>
      </c>
      <c r="E25">
        <v>1</v>
      </c>
      <c r="F25">
        <v>100</v>
      </c>
      <c r="G25" t="str">
        <v>100</v>
      </c>
      <c r="H25" t="str">
        <v>46.66</v>
      </c>
      <c r="I25" t="str">
        <v/>
      </c>
      <c r="J25" t="str">
        <v>WALK-IN</v>
      </c>
      <c r="K25" t="str">
        <v>CASH</v>
      </c>
      <c r="L25" t="str">
        <v/>
      </c>
      <c r="M25">
        <v>20</v>
      </c>
      <c r="N25" t="str">
        <v/>
      </c>
      <c r="O25" t="str">
        <v/>
      </c>
    </row>
    <row r="26">
      <c r="A26" t="str">
        <v>2026-06-04</v>
      </c>
      <c r="B26" t="str">
        <v>11:04 PM</v>
      </c>
      <c r="C26" t="str">
        <v>Blueberry Latte</v>
      </c>
      <c r="D26" t="str">
        <v>16oz</v>
      </c>
      <c r="E26">
        <v>1</v>
      </c>
      <c r="F26">
        <v>100</v>
      </c>
      <c r="G26" t="str">
        <v>100</v>
      </c>
      <c r="H26" t="str">
        <v>52.21</v>
      </c>
      <c r="I26" t="str">
        <v/>
      </c>
      <c r="J26" t="str">
        <v>AST 2/3</v>
      </c>
      <c r="K26" t="str">
        <v>GCASH</v>
      </c>
      <c r="L26" t="str">
        <v/>
      </c>
      <c r="M26">
        <v>21</v>
      </c>
      <c r="N26" t="str">
        <v/>
      </c>
      <c r="O26" t="str">
        <v/>
      </c>
    </row>
    <row r="27">
      <c r="A27" t="str">
        <v>2026-06-04</v>
      </c>
      <c r="B27" t="str">
        <v>11:06 PM</v>
      </c>
      <c r="C27" t="str">
        <v>White Mocha Latte</v>
      </c>
      <c r="D27" t="str">
        <v>16oz</v>
      </c>
      <c r="E27">
        <v>2</v>
      </c>
      <c r="F27">
        <v>140</v>
      </c>
      <c r="G27" t="str">
        <v>280</v>
      </c>
      <c r="H27" t="str">
        <v>134.75</v>
      </c>
      <c r="I27" t="str">
        <v/>
      </c>
      <c r="J27" t="str">
        <v>EVS 5/32</v>
      </c>
      <c r="K27" t="str">
        <v>GCASH</v>
      </c>
      <c r="L27" t="str">
        <v/>
      </c>
      <c r="M27">
        <v>23</v>
      </c>
      <c r="N27" t="str">
        <v/>
      </c>
      <c r="O27" t="str">
        <v/>
      </c>
    </row>
    <row r="28">
      <c r="A28" t="str">
        <v>2026-06-04</v>
      </c>
      <c r="B28" t="str">
        <v>11:07 PM</v>
      </c>
      <c r="C28" t="str">
        <v>Single Shot</v>
      </c>
      <c r="D28" t="str">
        <v>unit</v>
      </c>
      <c r="E28">
        <v>1</v>
      </c>
      <c r="F28">
        <v>30</v>
      </c>
      <c r="G28" t="str">
        <v>30</v>
      </c>
      <c r="H28" t="str">
        <v>13.73</v>
      </c>
      <c r="I28" t="str">
        <v/>
      </c>
      <c r="J28" t="str">
        <v>ARIES</v>
      </c>
      <c r="K28" t="str">
        <v>GCASH</v>
      </c>
      <c r="L28" t="str">
        <v/>
      </c>
      <c r="M28">
        <v>24</v>
      </c>
      <c r="N28" t="str">
        <v/>
      </c>
      <c r="O28" t="str">
        <v/>
      </c>
    </row>
    <row r="29">
      <c r="A29" t="str">
        <v>2026-06-04</v>
      </c>
      <c r="B29" t="str">
        <v>11:07 PM</v>
      </c>
      <c r="C29" t="str">
        <v>Strawberry Latte</v>
      </c>
      <c r="D29" t="str">
        <v>16oz</v>
      </c>
      <c r="E29">
        <v>1</v>
      </c>
      <c r="F29">
        <v>100</v>
      </c>
      <c r="G29" t="str">
        <v>100</v>
      </c>
      <c r="H29" t="str">
        <v>46.66</v>
      </c>
      <c r="I29" t="str">
        <v/>
      </c>
      <c r="J29" t="str">
        <v>ARIES</v>
      </c>
      <c r="K29" t="str">
        <v>GCASH</v>
      </c>
      <c r="L29" t="str">
        <v/>
      </c>
      <c r="M29">
        <v>24</v>
      </c>
      <c r="N29" t="str">
        <v/>
      </c>
      <c r="O29" t="str">
        <v/>
      </c>
    </row>
    <row r="30">
      <c r="A30" t="str">
        <v>2026-06-04</v>
      </c>
      <c r="B30" t="str">
        <v>11:07 PM</v>
      </c>
      <c r="C30" t="str">
        <v>Cacao Latte</v>
      </c>
      <c r="D30" t="str">
        <v>16oz</v>
      </c>
      <c r="E30">
        <v>1</v>
      </c>
      <c r="F30">
        <v>125</v>
      </c>
      <c r="G30" t="str">
        <v>125</v>
      </c>
      <c r="H30" t="str">
        <v>67.07</v>
      </c>
      <c r="I30" t="str">
        <v/>
      </c>
      <c r="J30" t="str">
        <v>ARIES</v>
      </c>
      <c r="K30" t="str">
        <v>GCASH</v>
      </c>
      <c r="L30" t="str">
        <v/>
      </c>
      <c r="M30">
        <v>24</v>
      </c>
      <c r="N30" t="str">
        <v/>
      </c>
      <c r="O30" t="str">
        <v/>
      </c>
    </row>
    <row r="31">
      <c r="A31" t="str">
        <v>2026-06-05</v>
      </c>
      <c r="B31" t="str">
        <v>11:09 PM</v>
      </c>
      <c r="C31" t="str">
        <v>Biscoff Cream</v>
      </c>
      <c r="D31" t="str">
        <v>16oz</v>
      </c>
      <c r="E31">
        <v>1</v>
      </c>
      <c r="F31">
        <v>155</v>
      </c>
      <c r="G31" t="str">
        <v>155</v>
      </c>
      <c r="H31" t="str">
        <v>49.88</v>
      </c>
      <c r="I31" t="str">
        <v/>
      </c>
      <c r="J31" t="str">
        <v>AST 7/4</v>
      </c>
      <c r="K31" t="str">
        <v>GCASH</v>
      </c>
      <c r="L31" t="str">
        <v/>
      </c>
      <c r="M31">
        <v>25</v>
      </c>
      <c r="N31" t="str">
        <v/>
      </c>
      <c r="O31" t="str">
        <v/>
      </c>
    </row>
    <row r="32">
      <c r="A32" t="str">
        <v>2026-06-05</v>
      </c>
      <c r="B32" t="str">
        <v>11:10 PM</v>
      </c>
      <c r="C32" t="str">
        <v>Blueberry Latte</v>
      </c>
      <c r="D32" t="str">
        <v>16oz</v>
      </c>
      <c r="E32">
        <v>1</v>
      </c>
      <c r="F32">
        <v>100</v>
      </c>
      <c r="G32" t="str">
        <v>100</v>
      </c>
      <c r="H32" t="str">
        <v>52.21</v>
      </c>
      <c r="I32" t="str">
        <v/>
      </c>
      <c r="J32" t="str">
        <v>WALK-IN (KIDS)</v>
      </c>
      <c r="K32" t="str">
        <v>CASH</v>
      </c>
      <c r="L32" t="str">
        <v/>
      </c>
      <c r="M32">
        <v>26</v>
      </c>
      <c r="N32" t="str">
        <v/>
      </c>
      <c r="O32" t="str">
        <v/>
      </c>
    </row>
    <row r="33">
      <c r="A33" t="str">
        <v>2026-06-05</v>
      </c>
      <c r="B33" t="str">
        <v>11:10 PM</v>
      </c>
      <c r="C33" t="str">
        <v>Strawberry Latte</v>
      </c>
      <c r="D33" t="str">
        <v>16oz</v>
      </c>
      <c r="E33">
        <v>1</v>
      </c>
      <c r="F33">
        <v>100</v>
      </c>
      <c r="G33" t="str">
        <v>100</v>
      </c>
      <c r="H33" t="str">
        <v>46.66</v>
      </c>
      <c r="I33" t="str">
        <v/>
      </c>
      <c r="J33" t="str">
        <v>WALK-IN (KIDS)</v>
      </c>
      <c r="K33" t="str">
        <v>CASH</v>
      </c>
      <c r="L33" t="str">
        <v/>
      </c>
      <c r="M33">
        <v>26</v>
      </c>
      <c r="N33" t="str">
        <v/>
      </c>
      <c r="O33" t="str">
        <v/>
      </c>
    </row>
    <row r="34">
      <c r="A34" t="str">
        <v>2026-06-05</v>
      </c>
      <c r="B34" t="str">
        <v>11:10 PM</v>
      </c>
      <c r="C34" t="str">
        <v>Spanish Latte</v>
      </c>
      <c r="D34" t="str">
        <v>16oz</v>
      </c>
      <c r="E34">
        <v>1</v>
      </c>
      <c r="F34">
        <v>115</v>
      </c>
      <c r="G34" t="str">
        <v>115</v>
      </c>
      <c r="H34" t="str">
        <v>71.05</v>
      </c>
      <c r="I34" t="str">
        <v/>
      </c>
      <c r="J34" t="str">
        <v>NAV 6/11</v>
      </c>
      <c r="K34" t="str">
        <v>CASH</v>
      </c>
      <c r="L34" t="str">
        <v/>
      </c>
      <c r="M34">
        <v>27</v>
      </c>
      <c r="N34" t="str">
        <v/>
      </c>
      <c r="O34" t="str">
        <v/>
      </c>
    </row>
    <row r="35">
      <c r="A35" t="str">
        <v>2026-06-05</v>
      </c>
      <c r="B35" t="str">
        <v>11:11 PM</v>
      </c>
      <c r="C35" t="str">
        <v>Memento Latte</v>
      </c>
      <c r="D35" t="str">
        <v>16oz</v>
      </c>
      <c r="E35">
        <v>2</v>
      </c>
      <c r="F35">
        <v>140</v>
      </c>
      <c r="G35" t="str">
        <v>280</v>
      </c>
      <c r="H35" t="str">
        <v>162.11</v>
      </c>
      <c r="I35" t="str">
        <v/>
      </c>
      <c r="J35" t="str">
        <v>AST 12/36</v>
      </c>
      <c r="K35" t="str">
        <v>GCASH</v>
      </c>
      <c r="L35" t="str">
        <v/>
      </c>
      <c r="M35">
        <v>28</v>
      </c>
      <c r="N35" t="str">
        <v/>
      </c>
      <c r="O35" t="str">
        <v/>
      </c>
    </row>
    <row r="36">
      <c r="A36" t="str">
        <v>2026-06-05</v>
      </c>
      <c r="B36" t="str">
        <v>11:11 PM</v>
      </c>
      <c r="C36" t="str">
        <v>Single Shot</v>
      </c>
      <c r="D36" t="str">
        <v>unit</v>
      </c>
      <c r="E36">
        <v>1</v>
      </c>
      <c r="F36">
        <v>30</v>
      </c>
      <c r="G36" t="str">
        <v>30</v>
      </c>
      <c r="H36" t="str">
        <v>13.73</v>
      </c>
      <c r="I36" t="str">
        <v/>
      </c>
      <c r="J36" t="str">
        <v>AST 12/36</v>
      </c>
      <c r="K36" t="str">
        <v>GCASH</v>
      </c>
      <c r="L36" t="str">
        <v/>
      </c>
      <c r="M36">
        <v>28</v>
      </c>
      <c r="N36" t="str">
        <v/>
      </c>
      <c r="O36" t="str">
        <v/>
      </c>
    </row>
    <row r="37">
      <c r="A37" t="str">
        <v>2026-06-05</v>
      </c>
      <c r="B37" t="str">
        <v>11:11 PM</v>
      </c>
      <c r="C37" t="str">
        <v>Caramel Macchiato</v>
      </c>
      <c r="D37" t="str">
        <v>16oz</v>
      </c>
      <c r="E37">
        <v>1</v>
      </c>
      <c r="F37">
        <v>135</v>
      </c>
      <c r="G37" t="str">
        <v>135</v>
      </c>
      <c r="H37" t="str">
        <v>63.64</v>
      </c>
      <c r="I37" t="str">
        <v/>
      </c>
      <c r="J37" t="str">
        <v>EVS 5/32</v>
      </c>
      <c r="K37" t="str">
        <v>GCASH</v>
      </c>
      <c r="L37" t="str">
        <v/>
      </c>
      <c r="M37">
        <v>29</v>
      </c>
      <c r="N37" t="str">
        <v/>
      </c>
      <c r="O37" t="str">
        <v/>
      </c>
    </row>
    <row r="38">
      <c r="A38" t="str">
        <v>2026-06-04</v>
      </c>
      <c r="B38" t="str">
        <v>11:39 PM</v>
      </c>
      <c r="C38" t="str">
        <v>Memento Latte</v>
      </c>
      <c r="D38" t="str">
        <v>12oz</v>
      </c>
      <c r="E38">
        <v>2</v>
      </c>
      <c r="F38">
        <v>120</v>
      </c>
      <c r="G38" t="str">
        <v>240</v>
      </c>
      <c r="H38" t="str">
        <v>136.23</v>
      </c>
      <c r="I38" t="str">
        <v/>
      </c>
      <c r="J38" t="str">
        <v>WALK-IN (ELLON MUSK)</v>
      </c>
      <c r="K38" t="str">
        <v>CASH</v>
      </c>
      <c r="L38" t="str">
        <v/>
      </c>
      <c r="M38">
        <v>1</v>
      </c>
      <c r="N38" t="str">
        <v/>
      </c>
      <c r="O38" t="str">
        <v/>
      </c>
    </row>
    <row r="39">
      <c r="A39" t="str">
        <v>2026-06-04</v>
      </c>
      <c r="B39" t="str">
        <v>11:39 PM</v>
      </c>
      <c r="C39" t="str">
        <v>Cacao Latte</v>
      </c>
      <c r="D39" t="str">
        <v>16oz</v>
      </c>
      <c r="E39">
        <v>2</v>
      </c>
      <c r="F39">
        <v>125</v>
      </c>
      <c r="G39" t="str">
        <v>250</v>
      </c>
      <c r="H39" t="str">
        <v>134.13</v>
      </c>
      <c r="I39" t="str">
        <v/>
      </c>
      <c r="J39" t="str">
        <v>WALK-IN (ELLON MUSK)</v>
      </c>
      <c r="K39" t="str">
        <v>CASH</v>
      </c>
      <c r="L39" t="str">
        <v/>
      </c>
      <c r="M39">
        <v>1</v>
      </c>
      <c r="N39" t="str">
        <v/>
      </c>
      <c r="O39" t="str">
        <v/>
      </c>
    </row>
    <row r="40">
      <c r="A40" t="str">
        <v>2026-06-04</v>
      </c>
      <c r="B40" t="str">
        <v>11:39 PM</v>
      </c>
      <c r="C40" t="str">
        <v>Strawberry Choco Latte</v>
      </c>
      <c r="D40" t="str">
        <v>12oz</v>
      </c>
      <c r="E40">
        <v>1</v>
      </c>
      <c r="F40">
        <v>105</v>
      </c>
      <c r="G40" t="str">
        <v>105</v>
      </c>
      <c r="H40" t="str">
        <v>53.35</v>
      </c>
      <c r="I40" t="str">
        <v/>
      </c>
      <c r="J40" t="str">
        <v>WALK-IN (ELLON MUSK)</v>
      </c>
      <c r="K40" t="str">
        <v>CASH</v>
      </c>
      <c r="L40" t="str">
        <v/>
      </c>
      <c r="M40">
        <v>1</v>
      </c>
      <c r="N40" t="str">
        <v/>
      </c>
      <c r="O40" t="str">
        <v/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Restock Details</vt:lpstr>
      <vt:lpstr>Updated Inventory</vt:lpstr>
      <vt:lpstr>Ingredients Pricing</vt:lpstr>
      <vt:lpstr>Drinks Costing</vt:lpstr>
      <vt:lpstr>Food Costing</vt:lpstr>
      <vt:lpstr>Drinks Selling Price</vt:lpstr>
      <vt:lpstr>Cookie Selling Price</vt:lpstr>
      <vt:lpstr>POS_Transaction_History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